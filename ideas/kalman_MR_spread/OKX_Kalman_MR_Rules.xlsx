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Universe" sheetId="3" state="visible" r:id="rId3"/>
    <sheet xmlns:r="http://schemas.openxmlformats.org/officeDocument/2006/relationships" name="03_Pair_Bands" sheetId="4" state="visible" r:id="rId4"/>
    <sheet xmlns:r="http://schemas.openxmlformats.org/officeDocument/2006/relationships" name="04_Screening" sheetId="5" state="visible" r:id="rId5"/>
    <sheet xmlns:r="http://schemas.openxmlformats.org/officeDocument/2006/relationships" name="05_Overlap_Risk" sheetId="6" state="visible" r:id="rId6"/>
    <sheet xmlns:r="http://schemas.openxmlformats.org/officeDocument/2006/relationships" name="06_Trade_Log" sheetId="7" state="visible" r:id="rId7"/>
  </sheets>
  <definedNames>
    <definedName name="_xlnm.Print_Area" localSheetId="0">'00_Cover'!$B$2:$H$36</definedName>
    <definedName name="_xlnm.Print_Area" localSheetId="1">'01_Assumptions'!$B$2:$E$39</definedName>
    <definedName name="_xlnm._FilterDatabase" localSheetId="2" hidden="1">'02_Universe'!$B$5:$M$20</definedName>
    <definedName name="_xlnm.Print_Titles" localSheetId="2">'02_Universe'!$1:$5</definedName>
    <definedName name="_xlnm.Print_Area" localSheetId="2">'02_Universe'!$B$2:$M$24</definedName>
    <definedName name="_xlnm._FilterDatabase" localSheetId="3" hidden="1">'03_Pair_Bands'!$B$5:$U$20</definedName>
    <definedName name="_xlnm.Print_Titles" localSheetId="3">'03_Pair_Bands'!$1:$5</definedName>
    <definedName name="_xlnm.Print_Area" localSheetId="3">'03_Pair_Bands'!$B$2:$U$38</definedName>
    <definedName name="_xlnm.Print_Titles" localSheetId="4">'04_Screening'!$1:$6</definedName>
    <definedName name="_xlnm.Print_Area" localSheetId="4">'04_Screening'!$B$2:$F$38</definedName>
    <definedName name="_xlnm.Print_Area" localSheetId="5">'05_Overlap_Risk'!$B$2:$F$22</definedName>
    <definedName name="_xlnm._FilterDatabase" localSheetId="6" hidden="1">'06_Trade_Log'!$B$5:$S$35</definedName>
    <definedName name="_xlnm.Print_Titles" localSheetId="6">'06_Trade_Log'!$1:$5</definedName>
    <definedName name="_xlnm.Print_Area" localSheetId="6">'06_Trade_Log'!$B$2:$S$38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3A4B"/>
      <sz val="22"/>
    </font>
    <font>
      <name val="Noto Sans CJK SC"/>
      <family val="2"/>
      <b val="1"/>
      <color rgb="FF1B3A4B"/>
      <sz val="22"/>
    </font>
    <font>
      <name val="Noto Sans CJK SC"/>
      <family val="2"/>
      <i val="1"/>
      <color rgb="FF5C6B73"/>
      <sz val="10"/>
    </font>
    <font>
      <name val="Arial"/>
      <charset val="1"/>
      <family val="0"/>
      <i val="1"/>
      <color rgb="FF5C6B73"/>
      <sz val="10"/>
    </font>
    <font>
      <name val="Noto Sans CJK SC"/>
      <family val="2"/>
      <color rgb="FF1A1A1A"/>
      <sz val="9"/>
    </font>
    <font>
      <name val="Arial"/>
      <charset val="1"/>
      <family val="0"/>
      <color rgb="FF1A1A1A"/>
      <sz val="9"/>
    </font>
    <font>
      <name val="Noto Sans CJK SC"/>
      <family val="2"/>
      <b val="1"/>
      <color rgb="FF5C6B73"/>
      <sz val="9"/>
    </font>
    <font>
      <name val="Arial"/>
      <charset val="1"/>
      <family val="0"/>
      <b val="1"/>
      <color rgb="FF1B5E20"/>
      <sz val="9"/>
    </font>
    <font>
      <name val="Arial"/>
      <charset val="1"/>
      <family val="0"/>
      <b val="1"/>
      <color rgb="FF1A1A1A"/>
      <sz val="9"/>
    </font>
    <font>
      <name val="Noto Sans CJK SC"/>
      <family val="2"/>
      <b val="1"/>
      <color rgb="FF1A1A1A"/>
      <sz val="9"/>
    </font>
    <font>
      <name val="Arial"/>
      <charset val="1"/>
      <family val="0"/>
      <b val="1"/>
      <color rgb="FF5C6B73"/>
      <sz val="9"/>
    </font>
    <font>
      <name val="Noto Sans CJK SC"/>
      <family val="2"/>
      <b val="1"/>
      <color rgb="FF1B3A4B"/>
      <sz val="12"/>
    </font>
    <font>
      <name val="Noto Sans CJK SC"/>
      <family val="2"/>
      <b val="1"/>
      <color rgb="FFFFFFFF"/>
      <sz val="10"/>
    </font>
    <font>
      <name val="Noto Sans CJK SC"/>
      <family val="2"/>
      <b val="1"/>
      <color rgb="FF0000FF"/>
      <sz val="9"/>
    </font>
    <font>
      <name val="Arial"/>
      <charset val="1"/>
      <family val="0"/>
      <b val="1"/>
      <color rgb="FF1B3A4B"/>
      <sz val="12"/>
    </font>
    <font>
      <name val="Noto Sans CJK SC"/>
      <family val="2"/>
      <color rgb="FF5C6B73"/>
      <sz val="8"/>
    </font>
    <font>
      <name val="Arial"/>
      <charset val="1"/>
      <family val="0"/>
      <color rgb="FF5C6B73"/>
      <sz val="8"/>
    </font>
    <font>
      <name val="Arial"/>
      <charset val="1"/>
      <family val="0"/>
      <b val="1"/>
      <color rgb="FF1B3A4B"/>
      <sz val="18"/>
    </font>
    <font>
      <name val="Noto Sans CJK SC"/>
      <family val="2"/>
      <b val="1"/>
      <color rgb="FF1B3A4B"/>
      <sz val="18"/>
    </font>
    <font>
      <name val="Arial"/>
      <charset val="1"/>
      <family val="0"/>
      <i val="1"/>
      <color rgb="FF5C6B73"/>
      <sz val="9"/>
    </font>
    <font>
      <name val="Noto Sans CJK SC"/>
      <family val="2"/>
      <i val="1"/>
      <color rgb="FF5C6B73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</fonts>
  <fills count="15">
    <fill>
      <patternFill/>
    </fill>
    <fill>
      <patternFill patternType="gray125"/>
    </fill>
    <fill>
      <patternFill patternType="solid">
        <fgColor rgb="FFF7F5F0"/>
        <bgColor rgb="FFFAFBFC"/>
      </patternFill>
    </fill>
    <fill>
      <patternFill patternType="solid">
        <fgColor rgb="FFE4F2E7"/>
        <bgColor rgb="FFE8F1F5"/>
      </patternFill>
    </fill>
    <fill>
      <patternFill patternType="solid">
        <fgColor rgb="FF1B3A4B"/>
        <bgColor rgb="FF2C5364"/>
      </patternFill>
    </fill>
    <fill>
      <patternFill patternType="solid">
        <fgColor rgb="FFFFFBEA"/>
        <bgColor rgb="FFFAFBFC"/>
      </patternFill>
    </fill>
    <fill>
      <patternFill patternType="solid">
        <fgColor rgb="FFFAFBFC"/>
        <bgColor rgb="FFFFFFFF"/>
      </patternFill>
    </fill>
    <fill>
      <patternFill patternType="solid">
        <fgColor rgb="FFE8F1F5"/>
        <bgColor rgb="FFE4F2E7"/>
      </patternFill>
    </fill>
    <fill>
      <patternFill patternType="solid">
        <fgColor rgb="FFF3EEE4"/>
        <bgColor rgb="FFF7F5F0"/>
      </patternFill>
    </fill>
    <fill>
      <patternFill patternType="solid">
        <fgColor rgb="FF0F6E6E"/>
        <bgColor rgb="FF008080"/>
      </patternFill>
    </fill>
    <fill>
      <patternFill patternType="solid">
        <fgColor rgb="FF6B4F2A"/>
        <bgColor rgb="FF5C2E2E"/>
      </patternFill>
    </fill>
    <fill>
      <patternFill patternType="solid">
        <fgColor rgb="FF3D5A40"/>
        <bgColor rgb="FF2C5364"/>
      </patternFill>
    </fill>
    <fill>
      <patternFill patternType="solid">
        <fgColor rgb="FF5C2E2E"/>
        <bgColor rgb="FF6B4F2A"/>
      </patternFill>
    </fill>
    <fill>
      <patternFill patternType="solid">
        <fgColor rgb="FF2C5364"/>
        <bgColor rgb="FF3D5A40"/>
      </patternFill>
    </fill>
    <fill>
      <patternFill patternType="solid">
        <fgColor rgb="FFFFF3D6"/>
        <bgColor rgb="FFF3EEE4"/>
      </patternFill>
    </fill>
  </fills>
  <borders count="7">
    <border>
      <left/>
      <right/>
      <top/>
      <bottom/>
      <diagonal/>
    </border>
    <border>
      <left style="thin">
        <color rgb="FFD5DDE2"/>
      </left>
      <right style="thin">
        <color rgb="FFD5DDE2"/>
      </right>
      <top style="thin">
        <color rgb="FFD5DDE2"/>
      </top>
      <bottom style="thin">
        <color rgb="FFD5DDE2"/>
      </bottom>
      <diagonal/>
    </border>
    <border>
      <left style="thin">
        <color rgb="FFD5DDE2"/>
      </left>
      <right/>
      <top style="thin">
        <color rgb="FFD5DDE2"/>
      </top>
      <bottom style="thin">
        <color rgb="FFD5DDE2"/>
      </bottom>
      <diagonal/>
    </border>
    <border>
      <left/>
      <right/>
      <top style="thin">
        <color rgb="FFD5DDE2"/>
      </top>
      <bottom/>
      <diagonal/>
    </border>
    <border>
      <left/>
      <right style="thin">
        <color rgb="FFD5DDE2"/>
      </right>
      <top style="thin">
        <color rgb="FFD5DDE2"/>
      </top>
      <bottom/>
      <diagonal/>
    </border>
    <border>
      <left/>
      <right/>
      <top style="thin">
        <color rgb="FFD5DDE2"/>
      </top>
      <bottom style="thin">
        <color rgb="FFD5DDE2"/>
      </bottom>
      <diagonal/>
    </border>
    <border>
      <left/>
      <right style="thin">
        <color rgb="FFD5DDE2"/>
      </right>
      <top style="thin">
        <color rgb="FFD5DDE2"/>
      </top>
      <bottom style="thin">
        <color rgb="FFD5DDE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general" vertical="bottom"/>
    </xf>
    <xf numFmtId="0" fontId="16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left" vertical="center" wrapText="1"/>
    </xf>
    <xf numFmtId="10" fontId="25" fillId="5" borderId="1" applyAlignment="1" pivotButton="0" quotePrefix="0" xfId="0">
      <alignment horizontal="center" vertical="center" wrapText="1"/>
    </xf>
    <xf numFmtId="1" fontId="25" fillId="5" borderId="1" applyAlignment="1" pivotButton="0" quotePrefix="0" xfId="0">
      <alignment horizontal="center" vertical="center" wrapText="1"/>
    </xf>
    <xf numFmtId="164" fontId="25" fillId="5" borderId="1" applyAlignment="1" pivotButton="0" quotePrefix="0" xfId="0">
      <alignment horizontal="center" vertical="center" wrapText="1"/>
    </xf>
    <xf numFmtId="10" fontId="26" fillId="3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5" fontId="25" fillId="5" borderId="1" applyAlignment="1" pivotButton="0" quotePrefix="0" xfId="0">
      <alignment horizontal="center" vertical="center" wrapText="1"/>
    </xf>
    <xf numFmtId="166" fontId="25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9" fontId="25" fillId="5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general" vertical="bottom"/>
    </xf>
    <xf numFmtId="0" fontId="27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2" fontId="25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19" fillId="14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general" vertical="bottom"/>
    </xf>
    <xf numFmtId="0" fontId="9" fillId="1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top" wrapText="1"/>
    </xf>
    <xf numFmtId="0" fontId="12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general" vertical="bottom"/>
    </xf>
    <xf numFmtId="0" fontId="16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left" vertical="center" wrapText="1"/>
    </xf>
    <xf numFmtId="10" fontId="25" fillId="5" borderId="1" applyAlignment="1" pivotButton="0" quotePrefix="0" xfId="0">
      <alignment horizontal="center" vertical="center" wrapText="1"/>
    </xf>
    <xf numFmtId="1" fontId="25" fillId="5" borderId="1" applyAlignment="1" pivotButton="0" quotePrefix="0" xfId="0">
      <alignment horizontal="center" vertical="center" wrapText="1"/>
    </xf>
    <xf numFmtId="164" fontId="25" fillId="5" borderId="1" applyAlignment="1" pivotButton="0" quotePrefix="0" xfId="0">
      <alignment horizontal="center" vertical="center" wrapText="1"/>
    </xf>
    <xf numFmtId="10" fontId="26" fillId="3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5" fontId="25" fillId="5" borderId="1" applyAlignment="1" pivotButton="0" quotePrefix="0" xfId="0">
      <alignment horizontal="center" vertical="center" wrapText="1"/>
    </xf>
    <xf numFmtId="166" fontId="25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9" fontId="25" fillId="5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general" vertical="bottom"/>
    </xf>
    <xf numFmtId="0" fontId="27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2" fontId="25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19" fillId="14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general" vertical="bottom"/>
    </xf>
    <xf numFmtId="0" fontId="9" fillId="1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top" wrapText="1"/>
    </xf>
    <xf numFmtId="0" fontId="12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B3A4B"/>
          <bgColor rgb="FF000000"/>
        </patternFill>
      </fill>
    </dxf>
    <dxf>
      <fill>
        <patternFill patternType="solid">
          <fgColor rgb="FFFAFB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1F5"/>
          <bgColor rgb="FF000000"/>
        </patternFill>
      </fill>
    </dxf>
    <dxf>
      <fill>
        <patternFill patternType="solid">
          <fgColor rgb="FFF3EEE4"/>
          <bgColor rgb="FF000000"/>
        </patternFill>
      </fill>
    </dxf>
    <dxf>
      <fill>
        <patternFill patternType="solid">
          <fgColor rgb="FF2C5364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F6E6E"/>
      <rgbColor rgb="FFFAFBFC"/>
      <rgbColor rgb="FF808080"/>
      <rgbColor rgb="FF9999FF"/>
      <rgbColor rgb="FF5C2E2E"/>
      <rgbColor rgb="FFFFF3D6"/>
      <rgbColor rgb="FFE4F2E7"/>
      <rgbColor rgb="FF660066"/>
      <rgbColor rgb="FFFF8080"/>
      <rgbColor rgb="FF0066CC"/>
      <rgbColor rgb="FFD5DD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5"/>
      <rgbColor rgb="FFF3EEE4"/>
      <rgbColor rgb="FFFFFBEA"/>
      <rgbColor rgb="FF99CCFF"/>
      <rgbColor rgb="FFFF99CC"/>
      <rgbColor rgb="FFCC99FF"/>
      <rgbColor rgb="FFF7F5F0"/>
      <rgbColor rgb="FF3366FF"/>
      <rgbColor rgb="FF33CCCC"/>
      <rgbColor rgb="FF99CC00"/>
      <rgbColor rgb="FFFFCC00"/>
      <rgbColor rgb="FFFF9900"/>
      <rgbColor rgb="FFFF6600"/>
      <rgbColor rgb="FF5C6B73"/>
      <rgbColor rgb="FF969696"/>
      <rgbColor rgb="FF3D5A40"/>
      <rgbColor rgb="FF339966"/>
      <rgbColor rgb="FF003300"/>
      <rgbColor rgb="FF1A1A1A"/>
      <rgbColor rgb="FF6B4F2A"/>
      <rgbColor rgb="FF993366"/>
      <rgbColor rgb="FF2C5364"/>
      <rgbColor rgb="FF1B3A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H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22" customWidth="1" style="62" min="2" max="2"/>
    <col width="62" customWidth="1" style="62" min="3" max="3"/>
    <col width="16" customWidth="1" style="62" min="4" max="4"/>
    <col width="14" customWidth="1" style="62" min="5" max="8"/>
  </cols>
  <sheetData>
    <row r="2" ht="27.75" customHeight="1" s="63">
      <c r="B2" s="64" t="inlineStr">
        <is>
          <t>OKX Kalman Mean-Reversion 운영 규칙표</t>
        </is>
      </c>
    </row>
    <row r="3" ht="15" customHeight="1" s="63">
      <c r="B3" s="65" t="inlineStr">
        <is>
          <t>버전 1.0 고정본  ·  2026-09-15  ·  거래소 OKX USDT-M Perp  ·  모델 Kalman hedge (log price)</t>
        </is>
      </c>
    </row>
    <row r="5" ht="31.5" customHeight="1" s="63">
      <c r="B5" s="66" t="inlineStr">
        <is>
          <t>이 통합본이 페어 유니버스 · 형성 스크리닝 · 페어별 진입/청산/손절 밴드의 단일 원본이다. 숫자를 바꾸려면 01_Assumptions와 03_Pair_Bands의 파란 글씨만 수정한다.</t>
        </is>
      </c>
    </row>
    <row r="7" ht="15" customHeight="1" s="63">
      <c r="B7" s="67" t="inlineStr">
        <is>
          <t>상태</t>
        </is>
      </c>
      <c r="C7" s="68" t="inlineStr">
        <is>
          <t>DRAFT / UNVALIDATED until S07 validation</t>
        </is>
      </c>
      <c r="D7" s="69" t="n"/>
      <c r="E7" s="70" t="n"/>
    </row>
    <row r="8" ht="15" customHeight="1" s="63">
      <c r="B8" s="67" t="inlineStr">
        <is>
          <t>기준 시각</t>
        </is>
      </c>
      <c r="C8" s="71" t="inlineStr">
        <is>
          <t>2026-09-15 17:30 KST</t>
        </is>
      </c>
      <c r="D8" s="69" t="n"/>
      <c r="E8" s="70" t="n"/>
    </row>
    <row r="9" ht="15" customHeight="1" s="63">
      <c r="B9" s="67" t="inlineStr">
        <is>
          <t>적용 거래소</t>
        </is>
      </c>
      <c r="C9" s="71" t="inlineStr">
        <is>
          <t>OKX</t>
        </is>
      </c>
      <c r="D9" s="69" t="n"/>
      <c r="E9" s="70" t="n"/>
    </row>
    <row r="10" ht="15" customHeight="1" s="63">
      <c r="B10" s="67" t="inlineStr">
        <is>
          <t>상품</t>
        </is>
      </c>
      <c r="C10" s="71" t="inlineStr">
        <is>
          <t>USDT-margined SWAP (instId = XXX-USDT-SWAP)</t>
        </is>
      </c>
      <c r="D10" s="69" t="n"/>
      <c r="E10" s="70" t="n"/>
    </row>
    <row r="11" ht="15" customHeight="1" s="63">
      <c r="B11" s="67" t="inlineStr">
        <is>
          <t>가격</t>
        </is>
      </c>
      <c r="C11" s="71" t="inlineStr">
        <is>
          <t>markPx (신호) / lastPx (체결 기록)</t>
        </is>
      </c>
      <c r="D11" s="69" t="n"/>
      <c r="E11" s="70" t="n"/>
    </row>
    <row r="12" ht="15" customHeight="1" s="63">
      <c r="B12" s="67" t="inlineStr">
        <is>
          <t>봉</t>
        </is>
      </c>
      <c r="C12" s="71" t="inlineStr">
        <is>
          <t>1시간</t>
        </is>
      </c>
      <c r="D12" s="69" t="n"/>
      <c r="E12" s="70" t="n"/>
    </row>
    <row r="13" ht="15" customHeight="1" s="63">
      <c r="B13" s="67" t="inlineStr">
        <is>
          <t>형성 / 거래 / 롤</t>
        </is>
      </c>
      <c r="C13" s="71" t="inlineStr">
        <is>
          <t>30일 / 10일 / 1~2일 walk-forward</t>
        </is>
      </c>
      <c r="D13" s="69" t="n"/>
      <c r="E13" s="70" t="n"/>
    </row>
    <row r="14" ht="15" customHeight="1" s="63">
      <c r="B14" s="67" t="inlineStr">
        <is>
          <t>동시 실거래</t>
        </is>
      </c>
      <c r="C14" s="72" t="inlineStr">
        <is>
          <t>최대 4페어</t>
        </is>
      </c>
      <c r="D14" s="69" t="n"/>
      <c r="E14" s="70" t="n"/>
    </row>
    <row r="15" ht="15" customHeight="1" s="63">
      <c r="B15" s="67" t="inlineStr">
        <is>
          <t>레버리지</t>
        </is>
      </c>
      <c r="C15" s="71" t="inlineStr">
        <is>
          <t>1~2x (교차마진 가능, 권장 isolated)</t>
        </is>
      </c>
      <c r="D15" s="69" t="n"/>
      <c r="E15" s="70" t="n"/>
    </row>
    <row r="17" ht="15" customHeight="1" s="63">
      <c r="B17" s="73" t="inlineStr">
        <is>
          <t>시트 구성</t>
        </is>
      </c>
    </row>
    <row r="18" ht="15" customHeight="1" s="63">
      <c r="B18" s="74" t="inlineStr">
        <is>
          <t>시트</t>
        </is>
      </c>
      <c r="C18" s="74" t="inlineStr">
        <is>
          <t>내용</t>
        </is>
      </c>
      <c r="D18" s="74" t="inlineStr">
        <is>
          <t>수정 여부</t>
        </is>
      </c>
    </row>
    <row r="19" ht="15" customHeight="1" s="63">
      <c r="B19" s="75" t="inlineStr">
        <is>
          <t>01_Assumptions</t>
        </is>
      </c>
      <c r="C19" s="76" t="inlineStr">
        <is>
          <t>비용·칼만·운영 한도. 파란 숫자만 입력.</t>
        </is>
      </c>
      <c r="D19" s="77" t="inlineStr">
        <is>
          <t>입력 가능</t>
        </is>
      </c>
    </row>
    <row r="20" ht="15" customHeight="1" s="63">
      <c r="B20" s="78" t="inlineStr">
        <is>
          <t>02_Universe</t>
        </is>
      </c>
      <c r="C20" s="79" t="inlineStr">
        <is>
          <t>감시 페어 15개와 중복 그룹.</t>
        </is>
      </c>
      <c r="D20" s="79" t="inlineStr">
        <is>
          <t>구조 고정</t>
        </is>
      </c>
    </row>
    <row r="21" ht="15" customHeight="1" s="63">
      <c r="B21" s="75" t="inlineStr">
        <is>
          <t>03_Pair_Bands</t>
        </is>
      </c>
      <c r="C21" s="76" t="inlineStr">
        <is>
          <t>페어별 진입/청산/손절/시간손절/사이즈. 본 규칙의 핵심.</t>
        </is>
      </c>
      <c r="D21" s="77" t="inlineStr">
        <is>
          <t>밴드만 입력</t>
        </is>
      </c>
    </row>
    <row r="22" ht="15" customHeight="1" s="63">
      <c r="B22" s="78" t="inlineStr">
        <is>
          <t>04_Screening</t>
        </is>
      </c>
      <c r="C22" s="79" t="inlineStr">
        <is>
          <t>형성 구간 Hard / Soft 통과 기준.</t>
        </is>
      </c>
      <c r="D22" s="79" t="inlineStr">
        <is>
          <t>구조 고정</t>
        </is>
      </c>
    </row>
    <row r="23" ht="15" customHeight="1" s="63">
      <c r="B23" s="75" t="inlineStr">
        <is>
          <t>05_Overlap_Risk</t>
        </is>
      </c>
      <c r="C23" s="76" t="inlineStr">
        <is>
          <t>동시 진입 금지와 순한도.</t>
        </is>
      </c>
      <c r="D23" s="76" t="inlineStr">
        <is>
          <t>구조 고정</t>
        </is>
      </c>
    </row>
    <row r="24" ht="15" customHeight="1" s="63">
      <c r="B24" s="78" t="inlineStr">
        <is>
          <t>06_Trade_Log</t>
        </is>
      </c>
      <c r="C24" s="79" t="inlineStr">
        <is>
          <t>실거래 기록 템플릿.</t>
        </is>
      </c>
      <c r="D24" s="79" t="inlineStr">
        <is>
          <t>사용</t>
        </is>
      </c>
    </row>
    <row r="26" ht="19.4" customHeight="1" s="63">
      <c r="B26" s="73" t="inlineStr">
        <is>
          <t>고정 원칙 (이 버전에서 바꾸지 않는 것)</t>
        </is>
      </c>
    </row>
    <row r="27" ht="117.75" customHeight="1" s="63">
      <c r="B27" s="80" t="inlineStr">
        <is>
          <t>1) Signal is Kalman innovation z = e / sqrt(S); do not use rolling z-score as primary signal.
2) Use log mark. Compute x_center and population x_scale in formation and keep them fixed through the trading window. State is [alpha, beta_scaled], F=I, Q=q*I, q=R*delta/(1-delta).
3) Lazy-initialize on the first valid observation; use Joseph covariance update. Signals become ready from valid update 72.
4) Reject non-positive or non-finite prices.
5) BTC-ETH is a benchmark, not the whole portfolio.
6) Pairs that fail formation Hard checks remain Off even if bands exist.
7) Events such as hacks, unlocks, one-sided regulation/ETF news, and chain stops trigger immediate exit independently of z.</t>
        </is>
      </c>
    </row>
    <row r="28" ht="15" customHeight="1" s="63"/>
    <row r="29" ht="15" customHeight="1" s="63"/>
    <row r="30" ht="15" customHeight="1" s="63"/>
    <row r="31" ht="15" customHeight="1" s="63"/>
    <row r="32" ht="15" customHeight="1" s="63"/>
    <row r="34" ht="15" customHeight="1" s="63">
      <c r="B34" s="81" t="inlineStr">
        <is>
          <t>면책</t>
        </is>
      </c>
    </row>
    <row r="35" ht="15" customHeight="1" s="63">
      <c r="B35" s="82" t="inlineStr">
        <is>
          <t>교육·운영 체크리스트이다. 수익을 보장하지 않으며, 한국 리테일의 해외 파생 이용·세무·자금이전 규정을 각자 확인해야 한다. 레버리지와 청산 리스크는 사용자 책임이다.</t>
        </is>
      </c>
    </row>
    <row r="36" ht="15" customHeight="1" s="63"/>
  </sheetData>
  <mergeCells count="14">
    <mergeCell ref="C14:E14"/>
    <mergeCell ref="C11:E11"/>
    <mergeCell ref="B27:H32"/>
    <mergeCell ref="C13:E13"/>
    <mergeCell ref="C8:E8"/>
    <mergeCell ref="C9:E9"/>
    <mergeCell ref="B2:H2"/>
    <mergeCell ref="C7:E7"/>
    <mergeCell ref="B3:H3"/>
    <mergeCell ref="B5:H5"/>
    <mergeCell ref="C15:E15"/>
    <mergeCell ref="C12:E12"/>
    <mergeCell ref="B35:H36"/>
    <mergeCell ref="C10:E10"/>
  </mergeCells>
  <printOptions horizontalCentered="1" verticalCentered="0" headings="0" gridLines="0" gridLinesSet="1"/>
  <pageMargins left="0.75" right="0.75" top="1" bottom="1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&amp;LOKX Kalman MR Rules v1.0</oddHeader>
    <oddFooter>&amp;LLocked 2026-09-15&amp;COKX Kalman MR  ·  v1.0 LOCKED  ·  not investment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F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24" customWidth="1" style="62" min="2" max="2"/>
    <col width="16" customWidth="1" style="62" min="3" max="3"/>
    <col width="12" customWidth="1" style="62" min="4" max="4"/>
    <col width="56" customWidth="1" style="62" min="5" max="5"/>
    <col width="18" customWidth="1" style="62" min="6" max="6"/>
  </cols>
  <sheetData>
    <row r="2" ht="27.6" customHeight="1" s="63">
      <c r="B2" s="83" t="inlineStr">
        <is>
          <t>01  ·  공통 가정 (파란 숫자 = 입력)</t>
        </is>
      </c>
    </row>
    <row r="3" ht="15" customHeight="1" s="63">
      <c r="B3" s="84" t="inlineStr">
        <is>
          <t>03_Pair_Bands의 왕복비용·최소σ 조건이 이 시트를 참조한다.</t>
        </is>
      </c>
    </row>
    <row r="5" ht="15" customHeight="1" s="63">
      <c r="B5" s="73" t="inlineStr">
        <is>
          <t>비용</t>
        </is>
      </c>
    </row>
    <row r="6" ht="18" customHeight="1" s="63">
      <c r="B6" s="85" t="inlineStr">
        <is>
          <t>taker 수수료</t>
        </is>
      </c>
      <c r="C6" s="86" t="n">
        <v>0.0005</v>
      </c>
      <c r="D6" s="76" t="inlineStr">
        <is>
          <t>소수</t>
        </is>
      </c>
      <c r="E6" s="75" t="inlineStr">
        <is>
          <t>OKX 일반 taker. VIP면 낮춤.</t>
        </is>
      </c>
    </row>
    <row r="7" ht="18" customHeight="1" s="63">
      <c r="B7" s="85" t="inlineStr">
        <is>
          <t>maker 수수료</t>
        </is>
      </c>
      <c r="C7" s="86" t="n">
        <v>0.0002</v>
      </c>
      <c r="D7" s="76" t="inlineStr">
        <is>
          <t>소수</t>
        </is>
      </c>
      <c r="E7" s="76" t="inlineStr">
        <is>
          <t>참고. 기본 비용은 taker.</t>
        </is>
      </c>
    </row>
    <row r="8" ht="18" customHeight="1" s="63">
      <c r="B8" s="67" t="inlineStr">
        <is>
          <t>왕복 다리 수</t>
        </is>
      </c>
      <c r="C8" s="87" t="n">
        <v>4</v>
      </c>
      <c r="D8" s="76" t="inlineStr">
        <is>
          <t>횟수</t>
        </is>
      </c>
      <c r="E8" s="76" t="inlineStr">
        <is>
          <t>진입 2 + 청산 2.</t>
        </is>
      </c>
    </row>
    <row r="9" ht="18" customHeight="1" s="63">
      <c r="B9" s="67" t="inlineStr">
        <is>
          <t>팩터 반스프레드</t>
        </is>
      </c>
      <c r="C9" s="88" t="n">
        <v>3</v>
      </c>
      <c r="D9" s="75" t="inlineStr">
        <is>
          <t>bp</t>
        </is>
      </c>
      <c r="E9" s="75" t="inlineStr">
        <is>
          <t>$10k 기준 한쪽 호가.</t>
        </is>
      </c>
    </row>
    <row r="10" ht="18" customHeight="1" s="63">
      <c r="B10" s="67" t="inlineStr">
        <is>
          <t>피어 반스프레드</t>
        </is>
      </c>
      <c r="C10" s="88" t="n">
        <v>6</v>
      </c>
      <c r="D10" s="75" t="inlineStr">
        <is>
          <t>bp</t>
        </is>
      </c>
      <c r="E10" s="76" t="inlineStr">
        <is>
          <t>얇은 피어는 더 크게 잡을 것.</t>
        </is>
      </c>
    </row>
    <row r="11" ht="18" customHeight="1" s="63">
      <c r="B11" s="67" t="inlineStr">
        <is>
          <t>보유 펀딩 가정</t>
        </is>
      </c>
      <c r="C11" s="88" t="n">
        <v>4</v>
      </c>
      <c r="D11" s="75" t="inlineStr">
        <is>
          <t>bp</t>
        </is>
      </c>
      <c r="E11" s="76" t="inlineStr">
        <is>
          <t>평균 보유 동안 순펀딩.</t>
        </is>
      </c>
    </row>
    <row r="12" ht="18" customHeight="1" s="63">
      <c r="B12" s="67" t="inlineStr">
        <is>
          <t>비용 배수 하한</t>
        </is>
      </c>
      <c r="C12" s="88" t="n">
        <v>2.5</v>
      </c>
      <c r="D12" s="76" t="inlineStr">
        <is>
          <t>배수</t>
        </is>
      </c>
      <c r="E12" s="75" t="inlineStr">
        <is>
          <t>2σ_e &gt; 이 값 × 왕복비용.</t>
        </is>
      </c>
    </row>
    <row r="13" ht="18" customHeight="1" s="63"/>
    <row r="14" ht="18" customHeight="1" s="63">
      <c r="B14" s="73" t="inlineStr">
        <is>
          <t>계산 (수식)</t>
        </is>
      </c>
    </row>
    <row r="15" ht="18" customHeight="1" s="63">
      <c r="B15" s="67" t="inlineStr">
        <is>
          <t>팩터 왕복비용</t>
        </is>
      </c>
      <c r="C15" s="89">
        <f>C6*C8 + 2*C9/10000 + C11/10000</f>
        <v/>
      </c>
      <c r="D15" s="76" t="inlineStr">
        <is>
          <t>소수</t>
        </is>
      </c>
      <c r="E15" s="76" t="inlineStr">
        <is>
          <t>수수료 + 왕복 스프레드 + 펀딩</t>
        </is>
      </c>
    </row>
    <row r="16" ht="18" customHeight="1" s="63">
      <c r="B16" s="67" t="inlineStr">
        <is>
          <t>피어 왕복비용</t>
        </is>
      </c>
      <c r="C16" s="89">
        <f>C6*C8 + 2*C10/10000 + C11/10000</f>
        <v/>
      </c>
      <c r="D16" s="76" t="inlineStr">
        <is>
          <t>소수</t>
        </is>
      </c>
      <c r="E16" s="76" t="n"/>
    </row>
    <row r="17" ht="18" customHeight="1" s="63">
      <c r="B17" s="67" t="inlineStr">
        <is>
          <t>팩터 왕복비용</t>
        </is>
      </c>
      <c r="C17" s="90">
        <f>C15*10000</f>
        <v/>
      </c>
      <c r="D17" s="75" t="inlineStr">
        <is>
          <t>bp</t>
        </is>
      </c>
      <c r="E17" s="76" t="inlineStr">
        <is>
          <t>표시용</t>
        </is>
      </c>
    </row>
    <row r="18" ht="18" customHeight="1" s="63">
      <c r="B18" s="67" t="inlineStr">
        <is>
          <t>피어 왕복비용</t>
        </is>
      </c>
      <c r="C18" s="90">
        <f>C16*10000</f>
        <v/>
      </c>
      <c r="D18" s="75" t="inlineStr">
        <is>
          <t>bp</t>
        </is>
      </c>
      <c r="E18" s="76" t="inlineStr">
        <is>
          <t>표시용</t>
        </is>
      </c>
    </row>
    <row r="19" ht="18" customHeight="1" s="63"/>
    <row r="20" ht="18" customHeight="1" s="63">
      <c r="B20" s="73" t="inlineStr">
        <is>
          <t>칼만 공통</t>
        </is>
      </c>
    </row>
    <row r="21" ht="18" customHeight="1" s="63">
      <c r="B21" s="85" t="inlineStr">
        <is>
          <t>delta</t>
        </is>
      </c>
      <c r="C21" s="91" t="n">
        <v>0.0001</v>
      </c>
      <c r="D21" s="75" t="inlineStr">
        <is>
          <t>Chan δ</t>
        </is>
      </c>
      <c r="E21" s="75" t="inlineStr">
        <is>
          <t>Q = q * I. q = R * delta/(1-delta), scaled state [alpha, beta_scaled].</t>
        </is>
      </c>
    </row>
    <row r="22" ht="18" customHeight="1" s="63">
      <c r="B22" s="85" t="inlineStr">
        <is>
          <t>meas_noise_R</t>
        </is>
      </c>
      <c r="C22" s="92" t="n">
        <v>0.001</v>
      </c>
      <c r="D22" s="75" t="inlineStr">
        <is>
          <t>R</t>
        </is>
      </c>
      <c r="E22" s="76" t="inlineStr">
        <is>
          <t>로그가격 측정잡음.</t>
        </is>
      </c>
    </row>
    <row r="23" ht="18" customHeight="1" s="63">
      <c r="B23" s="85" t="inlineStr">
        <is>
          <t>warmup_valid_updates</t>
        </is>
      </c>
      <c r="C23" s="87" t="n">
        <v>72</v>
      </c>
      <c r="D23" s="75" t="inlineStr">
        <is>
          <t>1h봉</t>
        </is>
      </c>
      <c r="E23" s="75" t="inlineStr">
        <is>
          <t>72 valid updates; updates 1-71 are not signal-ready; rejected prices do not count.</t>
        </is>
      </c>
    </row>
    <row r="24" ht="18" customHeight="1" s="63">
      <c r="B24" s="85" t="inlineStr">
        <is>
          <t>state</t>
        </is>
      </c>
      <c r="C24" s="93" t="inlineStr">
        <is>
          <t>alpha, beta_scaled</t>
        </is>
      </c>
      <c r="D24" s="75" t="inlineStr">
        <is>
          <t>2x1</t>
        </is>
      </c>
      <c r="E24" s="75" t="inlineStr">
        <is>
          <t>F = I, random walk. beta = beta_scaled / x_scale. x_scale = max(population_std(x), 1e-6).</t>
        </is>
      </c>
    </row>
    <row r="25" ht="18" customHeight="1" s="63">
      <c r="B25" s="85" t="inlineStr">
        <is>
          <t>price_transform</t>
        </is>
      </c>
      <c r="C25" s="93" t="inlineStr">
        <is>
          <t>ln(mark)</t>
        </is>
      </c>
      <c r="D25" s="76" t="n"/>
      <c r="E25" s="76" t="inlineStr">
        <is>
          <t>레벨 칼만으로 바꾸지 않음.</t>
        </is>
      </c>
    </row>
    <row r="26" ht="18" customHeight="1" s="63"/>
    <row r="27" ht="18" customHeight="1" s="63">
      <c r="B27" s="73" t="inlineStr">
        <is>
          <t>운영 한도</t>
        </is>
      </c>
    </row>
    <row r="28" ht="18" customHeight="1" s="63">
      <c r="B28" s="85" t="inlineStr">
        <is>
          <t>max_active_pairs</t>
        </is>
      </c>
      <c r="C28" s="87" t="n">
        <v>4</v>
      </c>
      <c r="D28" s="76" t="inlineStr">
        <is>
          <t>개</t>
        </is>
      </c>
      <c r="E28" s="75" t="inlineStr">
        <is>
          <t>Hard 통과 후 실거래 상한.</t>
        </is>
      </c>
    </row>
    <row r="29" ht="18" customHeight="1" s="63">
      <c r="B29" s="85" t="inlineStr">
        <is>
          <t>max_gross_exposure</t>
        </is>
      </c>
      <c r="C29" s="94" t="n">
        <v>1.5</v>
      </c>
      <c r="D29" s="76" t="inlineStr">
        <is>
          <t>배수</t>
        </is>
      </c>
      <c r="E29" s="76" t="inlineStr">
        <is>
          <t>양다리 명목 / 자산.</t>
        </is>
      </c>
    </row>
    <row r="30" ht="18" customHeight="1" s="63">
      <c r="B30" s="85" t="inlineStr">
        <is>
          <t>max_pair_margin</t>
        </is>
      </c>
      <c r="C30" s="94" t="n">
        <v>0.25</v>
      </c>
      <c r="D30" s="76" t="inlineStr">
        <is>
          <t>비율</t>
        </is>
      </c>
      <c r="E30" s="76" t="inlineStr">
        <is>
          <t>단일 페어 증거금 상한.</t>
        </is>
      </c>
    </row>
    <row r="31" ht="18" customHeight="1" s="63">
      <c r="B31" s="85" t="inlineStr">
        <is>
          <t>base_risk_per_1sd</t>
        </is>
      </c>
      <c r="C31" s="86" t="n">
        <v>0.005</v>
      </c>
      <c r="D31" s="76" t="inlineStr">
        <is>
          <t>자산대비</t>
        </is>
      </c>
      <c r="E31" s="76" t="inlineStr">
        <is>
          <t>스프레드 1σ 손실 목표. 페어 가중 전에 적용.</t>
        </is>
      </c>
    </row>
    <row r="32" ht="18" customHeight="1" s="63">
      <c r="B32" s="85" t="inlineStr">
        <is>
          <t>leverage_max</t>
        </is>
      </c>
      <c r="C32" s="87" t="n">
        <v>2</v>
      </c>
      <c r="D32" s="75" t="inlineStr">
        <is>
          <t>x</t>
        </is>
      </c>
      <c r="E32" s="75" t="inlineStr">
        <is>
          <t>3x 금지.</t>
        </is>
      </c>
    </row>
    <row r="33" ht="18" customHeight="1" s="63">
      <c r="B33" s="85" t="inlineStr">
        <is>
          <t>formation_days</t>
        </is>
      </c>
      <c r="C33" s="87" t="n">
        <v>30</v>
      </c>
      <c r="D33" s="76" t="inlineStr">
        <is>
          <t>일</t>
        </is>
      </c>
      <c r="E33" s="76" t="n"/>
    </row>
    <row r="34" ht="18" customHeight="1" s="63">
      <c r="B34" s="85" t="inlineStr">
        <is>
          <t>trade_window_days</t>
        </is>
      </c>
      <c r="C34" s="87" t="n">
        <v>10</v>
      </c>
      <c r="D34" s="76" t="inlineStr">
        <is>
          <t>일</t>
        </is>
      </c>
      <c r="E34" s="76" t="inlineStr">
        <is>
          <t>창 종료 시 강제 청산.</t>
        </is>
      </c>
    </row>
    <row r="35" ht="18" customHeight="1" s="63">
      <c r="B35" s="85" t="inlineStr">
        <is>
          <t>cooldown_hours</t>
        </is>
      </c>
      <c r="C35" s="87" t="n">
        <v>48</v>
      </c>
      <c r="D35" s="76" t="inlineStr">
        <is>
          <t>시간</t>
        </is>
      </c>
      <c r="E35" s="76" t="inlineStr">
        <is>
          <t>손절·이벤트 후.</t>
        </is>
      </c>
    </row>
    <row r="37" ht="15" customHeight="1" s="63">
      <c r="B37" s="95" t="inlineStr">
        <is>
          <t>비용 해석: 일반 계정 기준 팩터북 왕복은 대략 30bp, 피어북은 36bp 전후가 나온다. 형성 창에서 잔차 2σ가 이 값의 2.5배를 넘지 못하면 그 페어는 밴드를 열어두지 않는다.</t>
        </is>
      </c>
    </row>
    <row r="38" ht="15" customHeight="1" s="63"/>
    <row r="39" ht="15" customHeight="1" s="63"/>
  </sheetData>
  <mergeCells count="3">
    <mergeCell ref="B2:F2"/>
    <mergeCell ref="B37:F39"/>
    <mergeCell ref="B3:F3"/>
  </mergeCells>
  <printOptions horizontalCentered="0" verticalCentered="0" headings="0" gridLines="0" gridLinesSet="1"/>
  <pageMargins left="0.75" right="0.75" top="1" bottom="1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&amp;L01 Assumptions</oddHeader>
    <oddFooter>&amp;COKX Kalman MR  ·  v1.0 LOCKED  ·  not investment advice&amp;RPage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6" customWidth="1" style="62" min="2" max="2"/>
    <col width="10" customWidth="1" style="62" min="3" max="3"/>
    <col width="8" customWidth="1" style="62" min="4" max="5"/>
    <col width="20" customWidth="1" style="62" min="6" max="7"/>
    <col width="16" customWidth="1" style="62" min="8" max="8"/>
    <col width="14" customWidth="1" style="62" min="9" max="9"/>
    <col width="28" customWidth="1" style="62" min="10" max="11"/>
    <col width="12" customWidth="1" style="62" min="12" max="12"/>
    <col width="14" customWidth="1" style="62" min="13" max="13"/>
  </cols>
  <sheetData>
    <row r="2" ht="27.6" customHeight="1" s="63">
      <c r="B2" s="83" t="inlineStr">
        <is>
          <t>02  ·  감시 유니버스 15</t>
        </is>
      </c>
    </row>
    <row r="3" ht="15" customHeight="1" s="63">
      <c r="B3" s="96" t="inlineStr">
        <is>
          <t>실거래 여부는 04_Screening Hard 통과 후에만 On. 이 시트는 후보 고정 목록이다.</t>
        </is>
      </c>
    </row>
    <row r="5" ht="27.75" customHeight="1" s="63">
      <c r="B5" s="97" t="inlineStr">
        <is>
          <t>ID</t>
        </is>
      </c>
      <c r="C5" s="74" t="inlineStr">
        <is>
          <t>북</t>
        </is>
      </c>
      <c r="D5" s="97" t="inlineStr">
        <is>
          <t>Y</t>
        </is>
      </c>
      <c r="E5" s="97" t="inlineStr">
        <is>
          <t>X</t>
        </is>
      </c>
      <c r="F5" s="97" t="inlineStr">
        <is>
          <t>Y instId</t>
        </is>
      </c>
      <c r="G5" s="97" t="inlineStr">
        <is>
          <t>X instId</t>
        </is>
      </c>
      <c r="H5" s="74" t="inlineStr">
        <is>
          <t>중복그룹</t>
        </is>
      </c>
      <c r="I5" s="74" t="inlineStr">
        <is>
          <t>기본 상태</t>
        </is>
      </c>
      <c r="J5" s="74" t="inlineStr">
        <is>
          <t>역할</t>
        </is>
      </c>
      <c r="K5" s="74" t="inlineStr">
        <is>
          <t>고유 리스크</t>
        </is>
      </c>
      <c r="L5" s="74" t="inlineStr">
        <is>
          <t>최소 OI Y</t>
        </is>
      </c>
      <c r="M5" s="74" t="inlineStr">
        <is>
          <t>최소 24h Vol Y</t>
        </is>
      </c>
    </row>
    <row r="6" ht="21.75" customHeight="1" s="63">
      <c r="B6" s="98" t="n">
        <v>1</v>
      </c>
      <c r="C6" s="99" t="inlineStr">
        <is>
          <t>Factor</t>
        </is>
      </c>
      <c r="D6" s="93" t="inlineStr">
        <is>
          <t>ETH</t>
        </is>
      </c>
      <c r="E6" s="93" t="inlineStr">
        <is>
          <t>BTC</t>
        </is>
      </c>
      <c r="F6" s="93" t="inlineStr">
        <is>
          <t>ETH-USDT-SWAP</t>
        </is>
      </c>
      <c r="G6" s="93" t="inlineStr">
        <is>
          <t>BTC-USDT-SWAP</t>
        </is>
      </c>
      <c r="H6" s="93" t="inlineStr">
        <is>
          <t>G-ETH</t>
        </is>
      </c>
      <c r="I6" s="93" t="inlineStr">
        <is>
          <t>Watch</t>
        </is>
      </c>
      <c r="J6" s="76" t="inlineStr">
        <is>
          <t>벤치마크. 체결·로그 검증</t>
        </is>
      </c>
      <c r="K6" s="75" t="inlineStr">
        <is>
          <t>ETH/BTC 국면 전환</t>
        </is>
      </c>
      <c r="L6" s="75" t="inlineStr">
        <is>
          <t>$30M</t>
        </is>
      </c>
      <c r="M6" s="75" t="inlineStr">
        <is>
          <t>$50M</t>
        </is>
      </c>
    </row>
    <row r="7" ht="21.75" customHeight="1" s="63">
      <c r="B7" s="100" t="n">
        <v>2</v>
      </c>
      <c r="C7" s="99" t="inlineStr">
        <is>
          <t>Factor</t>
        </is>
      </c>
      <c r="D7" s="101" t="inlineStr">
        <is>
          <t>SOL</t>
        </is>
      </c>
      <c r="E7" s="101" t="inlineStr">
        <is>
          <t>BTC</t>
        </is>
      </c>
      <c r="F7" s="101" t="inlineStr">
        <is>
          <t>SOL-USDT-SWAP</t>
        </is>
      </c>
      <c r="G7" s="101" t="inlineStr">
        <is>
          <t>BTC-USDT-SWAP</t>
        </is>
      </c>
      <c r="H7" s="101" t="inlineStr">
        <is>
          <t>G-SOL</t>
        </is>
      </c>
      <c r="I7" s="101" t="inlineStr">
        <is>
          <t>Watch</t>
        </is>
      </c>
      <c r="J7" s="79" t="inlineStr">
        <is>
          <t>핵심 팩터 후보</t>
        </is>
      </c>
      <c r="K7" s="79" t="inlineStr">
        <is>
          <t>네트워크·밈 시즌 β 점프</t>
        </is>
      </c>
      <c r="L7" s="78" t="inlineStr">
        <is>
          <t>$30M</t>
        </is>
      </c>
      <c r="M7" s="78" t="inlineStr">
        <is>
          <t>$50M</t>
        </is>
      </c>
    </row>
    <row r="8" ht="21.75" customHeight="1" s="63">
      <c r="B8" s="98" t="n">
        <v>3</v>
      </c>
      <c r="C8" s="99" t="inlineStr">
        <is>
          <t>Factor</t>
        </is>
      </c>
      <c r="D8" s="93" t="inlineStr">
        <is>
          <t>BNB</t>
        </is>
      </c>
      <c r="E8" s="93" t="inlineStr">
        <is>
          <t>BTC</t>
        </is>
      </c>
      <c r="F8" s="93" t="inlineStr">
        <is>
          <t>BNB-USDT-SWAP</t>
        </is>
      </c>
      <c r="G8" s="93" t="inlineStr">
        <is>
          <t>BTC-USDT-SWAP</t>
        </is>
      </c>
      <c r="H8" s="93" t="inlineStr">
        <is>
          <t>G-BNB</t>
        </is>
      </c>
      <c r="I8" s="93" t="inlineStr">
        <is>
          <t>Watch</t>
        </is>
      </c>
      <c r="J8" s="76" t="inlineStr">
        <is>
          <t>거래소 토큰 베타</t>
        </is>
      </c>
      <c r="K8" s="76" t="inlineStr">
        <is>
          <t>소각·규제·체인 이벤트</t>
        </is>
      </c>
      <c r="L8" s="75" t="inlineStr">
        <is>
          <t>$30M</t>
        </is>
      </c>
      <c r="M8" s="75" t="inlineStr">
        <is>
          <t>$50M</t>
        </is>
      </c>
    </row>
    <row r="9" ht="21.75" customHeight="1" s="63">
      <c r="B9" s="100" t="n">
        <v>4</v>
      </c>
      <c r="C9" s="99" t="inlineStr">
        <is>
          <t>Factor</t>
        </is>
      </c>
      <c r="D9" s="101" t="inlineStr">
        <is>
          <t>SUI</t>
        </is>
      </c>
      <c r="E9" s="101" t="inlineStr">
        <is>
          <t>BTC</t>
        </is>
      </c>
      <c r="F9" s="101" t="inlineStr">
        <is>
          <t>SUI-USDT-SWAP</t>
        </is>
      </c>
      <c r="G9" s="101" t="inlineStr">
        <is>
          <t>BTC-USDT-SWAP</t>
        </is>
      </c>
      <c r="H9" s="101" t="inlineStr">
        <is>
          <t>G-SUI</t>
        </is>
      </c>
      <c r="I9" s="101" t="inlineStr">
        <is>
          <t>Watch</t>
        </is>
      </c>
      <c r="J9" s="78" t="inlineStr">
        <is>
          <t>L1 고베타 잔차</t>
        </is>
      </c>
      <c r="K9" s="78" t="inlineStr">
        <is>
          <t>APT와 중복</t>
        </is>
      </c>
      <c r="L9" s="78" t="inlineStr">
        <is>
          <t>$30M</t>
        </is>
      </c>
      <c r="M9" s="78" t="inlineStr">
        <is>
          <t>$50M</t>
        </is>
      </c>
    </row>
    <row r="10" ht="21.75" customHeight="1" s="63">
      <c r="B10" s="98" t="n">
        <v>5</v>
      </c>
      <c r="C10" s="99" t="inlineStr">
        <is>
          <t>Factor</t>
        </is>
      </c>
      <c r="D10" s="93" t="inlineStr">
        <is>
          <t>XRP</t>
        </is>
      </c>
      <c r="E10" s="93" t="inlineStr">
        <is>
          <t>BTC</t>
        </is>
      </c>
      <c r="F10" s="93" t="inlineStr">
        <is>
          <t>XRP-USDT-SWAP</t>
        </is>
      </c>
      <c r="G10" s="93" t="inlineStr">
        <is>
          <t>BTC-USDT-SWAP</t>
        </is>
      </c>
      <c r="H10" s="93" t="inlineStr">
        <is>
          <t>G-XRP</t>
        </is>
      </c>
      <c r="I10" s="93" t="inlineStr">
        <is>
          <t>Watch</t>
        </is>
      </c>
      <c r="J10" s="76" t="inlineStr">
        <is>
          <t>한국 유동성 대형</t>
        </is>
      </c>
      <c r="K10" s="76" t="inlineStr">
        <is>
          <t>규제/ETF 갭</t>
        </is>
      </c>
      <c r="L10" s="75" t="inlineStr">
        <is>
          <t>$30M</t>
        </is>
      </c>
      <c r="M10" s="75" t="inlineStr">
        <is>
          <t>$50M</t>
        </is>
      </c>
    </row>
    <row r="11" ht="21.75" customHeight="1" s="63">
      <c r="B11" s="100" t="n">
        <v>6</v>
      </c>
      <c r="C11" s="99" t="inlineStr">
        <is>
          <t>Factor</t>
        </is>
      </c>
      <c r="D11" s="101" t="inlineStr">
        <is>
          <t>ADA</t>
        </is>
      </c>
      <c r="E11" s="101" t="inlineStr">
        <is>
          <t>BTC</t>
        </is>
      </c>
      <c r="F11" s="101" t="inlineStr">
        <is>
          <t>ADA-USDT-SWAP</t>
        </is>
      </c>
      <c r="G11" s="101" t="inlineStr">
        <is>
          <t>BTC-USDT-SWAP</t>
        </is>
      </c>
      <c r="H11" s="101" t="inlineStr">
        <is>
          <t>G-ADA</t>
        </is>
      </c>
      <c r="I11" s="101" t="inlineStr">
        <is>
          <t>Watch</t>
        </is>
      </c>
      <c r="J11" s="79" t="inlineStr">
        <is>
          <t>저베타 L1</t>
        </is>
      </c>
      <c r="K11" s="78" t="inlineStr">
        <is>
          <t>2σ &lt; 비용 빈출</t>
        </is>
      </c>
      <c r="L11" s="78" t="inlineStr">
        <is>
          <t>$30M</t>
        </is>
      </c>
      <c r="M11" s="78" t="inlineStr">
        <is>
          <t>$50M</t>
        </is>
      </c>
    </row>
    <row r="12" ht="21.75" customHeight="1" s="63">
      <c r="B12" s="98" t="n">
        <v>7</v>
      </c>
      <c r="C12" s="99" t="inlineStr">
        <is>
          <t>Factor</t>
        </is>
      </c>
      <c r="D12" s="93" t="inlineStr">
        <is>
          <t>AVAX</t>
        </is>
      </c>
      <c r="E12" s="93" t="inlineStr">
        <is>
          <t>BTC</t>
        </is>
      </c>
      <c r="F12" s="93" t="inlineStr">
        <is>
          <t>AVAX-USDT-SWAP</t>
        </is>
      </c>
      <c r="G12" s="93" t="inlineStr">
        <is>
          <t>BTC-USDT-SWAP</t>
        </is>
      </c>
      <c r="H12" s="93" t="inlineStr">
        <is>
          <t>G-AVAX</t>
        </is>
      </c>
      <c r="I12" s="93" t="inlineStr">
        <is>
          <t>Watch</t>
        </is>
      </c>
      <c r="J12" s="75" t="inlineStr">
        <is>
          <t>L1 중간 베타</t>
        </is>
      </c>
      <c r="K12" s="75" t="inlineStr">
        <is>
          <t>NEAR와 중복</t>
        </is>
      </c>
      <c r="L12" s="75" t="inlineStr">
        <is>
          <t>$30M</t>
        </is>
      </c>
      <c r="M12" s="75" t="inlineStr">
        <is>
          <t>$50M</t>
        </is>
      </c>
    </row>
    <row r="13" ht="21.75" customHeight="1" s="63">
      <c r="B13" s="100" t="n">
        <v>8</v>
      </c>
      <c r="C13" s="99" t="inlineStr">
        <is>
          <t>Factor</t>
        </is>
      </c>
      <c r="D13" s="101" t="inlineStr">
        <is>
          <t>DOGE</t>
        </is>
      </c>
      <c r="E13" s="101" t="inlineStr">
        <is>
          <t>BTC</t>
        </is>
      </c>
      <c r="F13" s="101" t="inlineStr">
        <is>
          <t>DOGE-USDT-SWAP</t>
        </is>
      </c>
      <c r="G13" s="101" t="inlineStr">
        <is>
          <t>BTC-USDT-SWAP</t>
        </is>
      </c>
      <c r="H13" s="101" t="inlineStr">
        <is>
          <t>G-DOGE</t>
        </is>
      </c>
      <c r="I13" s="101" t="inlineStr">
        <is>
          <t>Watch</t>
        </is>
      </c>
      <c r="J13" s="79" t="inlineStr">
        <is>
          <t>밈 베타 잔차</t>
        </is>
      </c>
      <c r="K13" s="79" t="inlineStr">
        <is>
          <t>주말·소셜 점프</t>
        </is>
      </c>
      <c r="L13" s="78" t="inlineStr">
        <is>
          <t>$30M</t>
        </is>
      </c>
      <c r="M13" s="78" t="inlineStr">
        <is>
          <t>$50M</t>
        </is>
      </c>
    </row>
    <row r="14" ht="21.75" customHeight="1" s="63">
      <c r="B14" s="98" t="n">
        <v>9</v>
      </c>
      <c r="C14" s="102" t="inlineStr">
        <is>
          <t>Peer</t>
        </is>
      </c>
      <c r="D14" s="93" t="inlineStr">
        <is>
          <t>ETH</t>
        </is>
      </c>
      <c r="E14" s="93" t="inlineStr">
        <is>
          <t>SOL</t>
        </is>
      </c>
      <c r="F14" s="93" t="inlineStr">
        <is>
          <t>ETH-USDT-SWAP</t>
        </is>
      </c>
      <c r="G14" s="93" t="inlineStr">
        <is>
          <t>SOL-USDT-SWAP</t>
        </is>
      </c>
      <c r="H14" s="93" t="inlineStr">
        <is>
          <t>G-ETH|G-SOL</t>
        </is>
      </c>
      <c r="I14" s="93" t="inlineStr">
        <is>
          <t>Off-default</t>
        </is>
      </c>
      <c r="J14" s="76" t="inlineStr">
        <is>
          <t>대형 스마트컨트랙트 피어</t>
        </is>
      </c>
      <c r="K14" s="76" t="inlineStr">
        <is>
          <t>팩터북 2와 동시 금지</t>
        </is>
      </c>
      <c r="L14" s="75" t="inlineStr">
        <is>
          <t>$20M</t>
        </is>
      </c>
      <c r="M14" s="75" t="inlineStr">
        <is>
          <t>$20M</t>
        </is>
      </c>
    </row>
    <row r="15" ht="21.75" customHeight="1" s="63">
      <c r="B15" s="100" t="n">
        <v>10</v>
      </c>
      <c r="C15" s="102" t="inlineStr">
        <is>
          <t>Peer</t>
        </is>
      </c>
      <c r="D15" s="101" t="inlineStr">
        <is>
          <t>SUI</t>
        </is>
      </c>
      <c r="E15" s="101" t="inlineStr">
        <is>
          <t>APT</t>
        </is>
      </c>
      <c r="F15" s="101" t="inlineStr">
        <is>
          <t>SUI-USDT-SWAP</t>
        </is>
      </c>
      <c r="G15" s="101" t="inlineStr">
        <is>
          <t>APT-USDT-SWAP</t>
        </is>
      </c>
      <c r="H15" s="101" t="inlineStr">
        <is>
          <t>G-SUI</t>
        </is>
      </c>
      <c r="I15" s="101" t="inlineStr">
        <is>
          <t>Off-default</t>
        </is>
      </c>
      <c r="J15" s="78" t="inlineStr">
        <is>
          <t>Move L1 피어</t>
        </is>
      </c>
      <c r="K15" s="79" t="inlineStr">
        <is>
          <t>한쪽 에어드랍·해킹</t>
        </is>
      </c>
      <c r="L15" s="78" t="inlineStr">
        <is>
          <t>$12M</t>
        </is>
      </c>
      <c r="M15" s="78" t="inlineStr">
        <is>
          <t>$20M</t>
        </is>
      </c>
    </row>
    <row r="16" ht="21.75" customHeight="1" s="63">
      <c r="B16" s="98" t="n">
        <v>11</v>
      </c>
      <c r="C16" s="102" t="inlineStr">
        <is>
          <t>Peer</t>
        </is>
      </c>
      <c r="D16" s="93" t="inlineStr">
        <is>
          <t>ARB</t>
        </is>
      </c>
      <c r="E16" s="93" t="inlineStr">
        <is>
          <t>OP</t>
        </is>
      </c>
      <c r="F16" s="93" t="inlineStr">
        <is>
          <t>ARB-USDT-SWAP</t>
        </is>
      </c>
      <c r="G16" s="93" t="inlineStr">
        <is>
          <t>OP-USDT-SWAP</t>
        </is>
      </c>
      <c r="H16" s="93" t="inlineStr">
        <is>
          <t>G-L2</t>
        </is>
      </c>
      <c r="I16" s="93" t="inlineStr">
        <is>
          <t>Off-default</t>
        </is>
      </c>
      <c r="J16" s="76" t="inlineStr">
        <is>
          <t>이더리움 L2 경쟁</t>
        </is>
      </c>
      <c r="K16" s="76" t="inlineStr">
        <is>
          <t>언락·내러티브 분기</t>
        </is>
      </c>
      <c r="L16" s="75" t="inlineStr">
        <is>
          <t>$12M</t>
        </is>
      </c>
      <c r="M16" s="75" t="inlineStr">
        <is>
          <t>$20M</t>
        </is>
      </c>
    </row>
    <row r="17" ht="21.75" customHeight="1" s="63">
      <c r="B17" s="100" t="n">
        <v>12</v>
      </c>
      <c r="C17" s="102" t="inlineStr">
        <is>
          <t>Peer</t>
        </is>
      </c>
      <c r="D17" s="101" t="inlineStr">
        <is>
          <t>AVAX</t>
        </is>
      </c>
      <c r="E17" s="101" t="inlineStr">
        <is>
          <t>NEAR</t>
        </is>
      </c>
      <c r="F17" s="101" t="inlineStr">
        <is>
          <t>AVAX-USDT-SWAP</t>
        </is>
      </c>
      <c r="G17" s="101" t="inlineStr">
        <is>
          <t>NEAR-USDT-SWAP</t>
        </is>
      </c>
      <c r="H17" s="101" t="inlineStr">
        <is>
          <t>G-AVAX</t>
        </is>
      </c>
      <c r="I17" s="101" t="inlineStr">
        <is>
          <t>Off-default</t>
        </is>
      </c>
      <c r="J17" s="79" t="inlineStr">
        <is>
          <t>구세대 L1 피어</t>
        </is>
      </c>
      <c r="K17" s="79" t="inlineStr">
        <is>
          <t>한쪽만 테마</t>
        </is>
      </c>
      <c r="L17" s="78" t="inlineStr">
        <is>
          <t>$12M</t>
        </is>
      </c>
      <c r="M17" s="78" t="inlineStr">
        <is>
          <t>$20M</t>
        </is>
      </c>
    </row>
    <row r="18" ht="21.75" customHeight="1" s="63">
      <c r="B18" s="98" t="n">
        <v>13</v>
      </c>
      <c r="C18" s="102" t="inlineStr">
        <is>
          <t>Peer</t>
        </is>
      </c>
      <c r="D18" s="93" t="inlineStr">
        <is>
          <t>AAVE</t>
        </is>
      </c>
      <c r="E18" s="93" t="inlineStr">
        <is>
          <t>LINK</t>
        </is>
      </c>
      <c r="F18" s="93" t="inlineStr">
        <is>
          <t>AAVE-USDT-SWAP</t>
        </is>
      </c>
      <c r="G18" s="93" t="inlineStr">
        <is>
          <t>LINK-USDT-SWAP</t>
        </is>
      </c>
      <c r="H18" s="93" t="inlineStr">
        <is>
          <t>G-DEFI</t>
        </is>
      </c>
      <c r="I18" s="93" t="inlineStr">
        <is>
          <t>Off-default</t>
        </is>
      </c>
      <c r="J18" s="76" t="inlineStr">
        <is>
          <t>디파이 인프라</t>
        </is>
      </c>
      <c r="K18" s="75" t="inlineStr">
        <is>
          <t>TVL 쇼크 vs 오라클 뉴스</t>
        </is>
      </c>
      <c r="L18" s="75" t="inlineStr">
        <is>
          <t>$12M</t>
        </is>
      </c>
      <c r="M18" s="75" t="inlineStr">
        <is>
          <t>$20M</t>
        </is>
      </c>
    </row>
    <row r="19" ht="21.75" customHeight="1" s="63">
      <c r="B19" s="100" t="n">
        <v>14</v>
      </c>
      <c r="C19" s="102" t="inlineStr">
        <is>
          <t>Peer</t>
        </is>
      </c>
      <c r="D19" s="101" t="inlineStr">
        <is>
          <t>UNI</t>
        </is>
      </c>
      <c r="E19" s="101" t="inlineStr">
        <is>
          <t>AAVE</t>
        </is>
      </c>
      <c r="F19" s="101" t="inlineStr">
        <is>
          <t>UNI-USDT-SWAP</t>
        </is>
      </c>
      <c r="G19" s="101" t="inlineStr">
        <is>
          <t>AAVE-USDT-SWAP</t>
        </is>
      </c>
      <c r="H19" s="101" t="inlineStr">
        <is>
          <t>G-DEFI</t>
        </is>
      </c>
      <c r="I19" s="101" t="inlineStr">
        <is>
          <t>Off-default</t>
        </is>
      </c>
      <c r="J19" s="79" t="inlineStr">
        <is>
          <t>디파이 블루칩 교차</t>
        </is>
      </c>
      <c r="K19" s="78" t="inlineStr">
        <is>
          <t>13과 둘 중 하나</t>
        </is>
      </c>
      <c r="L19" s="78" t="inlineStr">
        <is>
          <t>$12M</t>
        </is>
      </c>
      <c r="M19" s="78" t="inlineStr">
        <is>
          <t>$20M</t>
        </is>
      </c>
    </row>
    <row r="20" ht="21.75" customHeight="1" s="63">
      <c r="B20" s="98" t="n">
        <v>15</v>
      </c>
      <c r="C20" s="102" t="inlineStr">
        <is>
          <t>Peer</t>
        </is>
      </c>
      <c r="D20" s="93" t="inlineStr">
        <is>
          <t>LDO</t>
        </is>
      </c>
      <c r="E20" s="93" t="inlineStr">
        <is>
          <t>ETH</t>
        </is>
      </c>
      <c r="F20" s="93" t="inlineStr">
        <is>
          <t>LDO-USDT-SWAP</t>
        </is>
      </c>
      <c r="G20" s="93" t="inlineStr">
        <is>
          <t>ETH-USDT-SWAP</t>
        </is>
      </c>
      <c r="H20" s="93" t="inlineStr">
        <is>
          <t>G-ETH</t>
        </is>
      </c>
      <c r="I20" s="93" t="inlineStr">
        <is>
          <t>Off-default</t>
        </is>
      </c>
      <c r="J20" s="76" t="inlineStr">
        <is>
          <t>스테이킹 거버넌스 vs ETH</t>
        </is>
      </c>
      <c r="K20" s="75" t="inlineStr">
        <is>
          <t>LDO는 페그가 아님</t>
        </is>
      </c>
      <c r="L20" s="75" t="inlineStr">
        <is>
          <t>$12M</t>
        </is>
      </c>
      <c r="M20" s="75" t="inlineStr">
        <is>
          <t>$20M</t>
        </is>
      </c>
    </row>
    <row r="22" ht="15" customHeight="1" s="63">
      <c r="B22" s="95" t="inlineStr">
        <is>
          <t>중복그룹 사용법: 같은 그룹 코드가 겹치면 05_Overlap_Risk 규칙으로 한 포지션만 허용. Peer의 Off-default는 형성 통과 전에는 밴드를 열지 말라는 뜻이다. Factor는 감시 유지, 거래는 스크리닝 통과 후.</t>
        </is>
      </c>
    </row>
    <row r="23" ht="15" customHeight="1" s="63"/>
    <row r="24" ht="15" customHeight="1" s="63"/>
  </sheetData>
  <autoFilter ref="B5:M20"/>
  <mergeCells count="3">
    <mergeCell ref="B2:L2"/>
    <mergeCell ref="B22:L24"/>
    <mergeCell ref="B3:L3"/>
  </mergeCells>
  <printOptions horizontalCentered="0" verticalCentered="0" headings="0" gridLines="0" gridLinesSet="1"/>
  <pageMargins left="0.75" right="0.75" top="1" bottom="1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&amp;L02 Universe</oddHeader>
    <oddFooter>&amp;COKX Kalman MR  ·  v1.0 LOCKED  ·  not investment advice&amp;RPage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B2:V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5" customWidth="1" style="62" min="2" max="2"/>
    <col width="9" customWidth="1" style="62" min="3" max="3"/>
    <col width="12" customWidth="1" style="62" min="4" max="4"/>
    <col width="7" customWidth="1" style="62" min="5" max="6"/>
    <col width="10" customWidth="1" style="62" min="7" max="9"/>
    <col width="11" customWidth="1" style="62" min="10" max="11"/>
    <col width="12" customWidth="1" style="62" min="12" max="12"/>
    <col width="10" customWidth="1" style="62" min="13" max="13"/>
    <col width="11" customWidth="1" style="62" min="14" max="16"/>
    <col width="10" customWidth="1" style="62" min="17" max="19"/>
    <col width="16" customWidth="1" style="62" min="20" max="20"/>
    <col width="42" customWidth="1" style="62" min="21" max="21"/>
  </cols>
  <sheetData>
    <row r="2" ht="27.6" customHeight="1" s="63">
      <c r="B2" s="83" t="inlineStr">
        <is>
          <t>03  ·  페어별 진입 · 청산 · 손절 밴드 (고정본)</t>
        </is>
      </c>
    </row>
    <row r="3" ht="15" customHeight="1" s="63">
      <c r="B3" s="84" t="inlineStr">
        <is>
          <t>z = e / sqrt(S). 롱 스프레드 = Y 매수 + X 매도. 숏 스프레드 = Y 매도 + X 매수. 노란 칸은 이 버전에서 잠근 운영 숫자.</t>
        </is>
      </c>
    </row>
    <row r="4" ht="18" customHeight="1" s="63">
      <c r="B4" s="103" t="inlineStr">
        <is>
          <t>식별</t>
        </is>
      </c>
      <c r="G4" s="104" t="inlineStr">
        <is>
          <t>진입 / 청산 / 손절 z</t>
        </is>
      </c>
      <c r="M4" s="105" t="inlineStr">
        <is>
          <t>시간 · 리헤지</t>
        </is>
      </c>
      <c r="Q4" s="106" t="inlineStr">
        <is>
          <t>사이즈</t>
        </is>
      </c>
      <c r="T4" s="107" t="inlineStr">
        <is>
          <t>게이트</t>
        </is>
      </c>
    </row>
    <row r="5" ht="30" customHeight="1" s="63">
      <c r="B5" s="108" t="inlineStr">
        <is>
          <t>ID</t>
        </is>
      </c>
      <c r="C5" s="109" t="inlineStr">
        <is>
          <t>북</t>
        </is>
      </c>
      <c r="D5" s="109" t="inlineStr">
        <is>
          <t>페어</t>
        </is>
      </c>
      <c r="E5" s="108" t="inlineStr">
        <is>
          <t>Y</t>
        </is>
      </c>
      <c r="F5" s="108" t="inlineStr">
        <is>
          <t>X</t>
        </is>
      </c>
      <c r="G5" s="109" t="inlineStr">
        <is>
          <t>진입 |z|</t>
        </is>
      </c>
      <c r="H5" s="109" t="inlineStr">
        <is>
          <t>청산 |z|</t>
        </is>
      </c>
      <c r="I5" s="109" t="inlineStr">
        <is>
          <t>손절 |z|</t>
        </is>
      </c>
      <c r="J5" s="109" t="inlineStr">
        <is>
          <t>손절지속 h</t>
        </is>
      </c>
      <c r="K5" s="109" t="inlineStr">
        <is>
          <t>반대플립</t>
        </is>
      </c>
      <c r="L5" s="109" t="inlineStr">
        <is>
          <t>최대보유 h</t>
        </is>
      </c>
      <c r="M5" s="108" t="inlineStr">
        <is>
          <t>HL배수</t>
        </is>
      </c>
      <c r="N5" s="109" t="inlineStr">
        <is>
          <t>리헤지 Δβ</t>
        </is>
      </c>
      <c r="O5" s="109" t="inlineStr">
        <is>
          <t>쿨다운 h</t>
        </is>
      </c>
      <c r="P5" s="109" t="inlineStr">
        <is>
          <t>사이즈가중</t>
        </is>
      </c>
      <c r="Q5" s="108" t="inlineStr">
        <is>
          <t>1σ배수</t>
        </is>
      </c>
      <c r="R5" s="109" t="inlineStr">
        <is>
          <t>마진상한</t>
        </is>
      </c>
      <c r="S5" s="109" t="inlineStr">
        <is>
          <t>형성필수</t>
        </is>
      </c>
      <c r="T5" s="109" t="inlineStr">
        <is>
          <t>동시금지</t>
        </is>
      </c>
      <c r="U5" s="109" t="inlineStr">
        <is>
          <t>운영 메모</t>
        </is>
      </c>
    </row>
    <row r="6" ht="36" customHeight="1" s="63">
      <c r="B6" s="98" t="n">
        <v>1</v>
      </c>
      <c r="C6" s="99" t="inlineStr">
        <is>
          <t>Factor</t>
        </is>
      </c>
      <c r="D6" s="93" t="inlineStr">
        <is>
          <t>ETH / BTC</t>
        </is>
      </c>
      <c r="E6" s="93" t="inlineStr">
        <is>
          <t>ETH</t>
        </is>
      </c>
      <c r="F6" s="93" t="inlineStr">
        <is>
          <t>BTC</t>
        </is>
      </c>
      <c r="G6" s="110" t="n">
        <v>1.6</v>
      </c>
      <c r="H6" s="110" t="n">
        <v>0.3</v>
      </c>
      <c r="I6" s="110" t="n">
        <v>3.8</v>
      </c>
      <c r="J6" s="111" t="n">
        <v>4</v>
      </c>
      <c r="K6" s="112" t="inlineStr">
        <is>
          <t>금지</t>
        </is>
      </c>
      <c r="L6" s="111" t="n">
        <v>96</v>
      </c>
      <c r="M6" s="110" t="n">
        <v>2</v>
      </c>
      <c r="N6" s="94" t="n">
        <v>0.1</v>
      </c>
      <c r="O6" s="111" t="n">
        <v>48</v>
      </c>
      <c r="P6" s="110" t="n">
        <v>1</v>
      </c>
      <c r="Q6" s="110" t="n">
        <v>1</v>
      </c>
      <c r="R6" s="94" t="n">
        <v>0.25</v>
      </c>
      <c r="S6" s="93" t="inlineStr">
        <is>
          <t>Y</t>
        </is>
      </c>
      <c r="T6" s="93" t="inlineStr">
        <is>
          <t>Pair 9, 15</t>
        </is>
      </c>
      <c r="U6" s="76" t="inlineStr">
        <is>
          <t>국면이 길다. 진입을 낮추지 말 것. 96h는 4일. HL이 4일을 넘기면 형성에서 이미 Out.</t>
        </is>
      </c>
    </row>
    <row r="7" ht="36" customHeight="1" s="63">
      <c r="B7" s="98" t="n">
        <v>2</v>
      </c>
      <c r="C7" s="99" t="inlineStr">
        <is>
          <t>Factor</t>
        </is>
      </c>
      <c r="D7" s="93" t="inlineStr">
        <is>
          <t>SOL / BTC</t>
        </is>
      </c>
      <c r="E7" s="93" t="inlineStr">
        <is>
          <t>SOL</t>
        </is>
      </c>
      <c r="F7" s="93" t="inlineStr">
        <is>
          <t>BTC</t>
        </is>
      </c>
      <c r="G7" s="110" t="n">
        <v>1.5</v>
      </c>
      <c r="H7" s="110" t="n">
        <v>0.3</v>
      </c>
      <c r="I7" s="110" t="n">
        <v>3.5</v>
      </c>
      <c r="J7" s="111" t="n">
        <v>3</v>
      </c>
      <c r="K7" s="112" t="inlineStr">
        <is>
          <t>금지</t>
        </is>
      </c>
      <c r="L7" s="111" t="n">
        <v>72</v>
      </c>
      <c r="M7" s="110" t="n">
        <v>2</v>
      </c>
      <c r="N7" s="94" t="n">
        <v>0.08</v>
      </c>
      <c r="O7" s="111" t="n">
        <v>48</v>
      </c>
      <c r="P7" s="110" t="n">
        <v>1.1</v>
      </c>
      <c r="Q7" s="110" t="n">
        <v>1</v>
      </c>
      <c r="R7" s="94" t="n">
        <v>0.25</v>
      </c>
      <c r="S7" s="93" t="inlineStr">
        <is>
          <t>Y</t>
        </is>
      </c>
      <c r="T7" s="93" t="inlineStr">
        <is>
          <t>Pair 9</t>
        </is>
      </c>
      <c r="U7" s="76" t="inlineStr">
        <is>
          <t>핵심. 이탈이 잘 열린다. β 점프 8%면 리헤지. 네트워크 장애 시 즉시 Off.</t>
        </is>
      </c>
    </row>
    <row r="8" ht="36" customHeight="1" s="63">
      <c r="B8" s="98" t="n">
        <v>3</v>
      </c>
      <c r="C8" s="99" t="inlineStr">
        <is>
          <t>Factor</t>
        </is>
      </c>
      <c r="D8" s="93" t="inlineStr">
        <is>
          <t>BNB / BTC</t>
        </is>
      </c>
      <c r="E8" s="93" t="inlineStr">
        <is>
          <t>BNB</t>
        </is>
      </c>
      <c r="F8" s="93" t="inlineStr">
        <is>
          <t>BTC</t>
        </is>
      </c>
      <c r="G8" s="110" t="n">
        <v>1.7</v>
      </c>
      <c r="H8" s="110" t="n">
        <v>0.35</v>
      </c>
      <c r="I8" s="110" t="n">
        <v>3.4</v>
      </c>
      <c r="J8" s="111" t="n">
        <v>3</v>
      </c>
      <c r="K8" s="112" t="inlineStr">
        <is>
          <t>금지</t>
        </is>
      </c>
      <c r="L8" s="111" t="n">
        <v>60</v>
      </c>
      <c r="M8" s="110" t="n">
        <v>1.8</v>
      </c>
      <c r="N8" s="94" t="n">
        <v>0.08</v>
      </c>
      <c r="O8" s="111" t="n">
        <v>48</v>
      </c>
      <c r="P8" s="110" t="n">
        <v>0.8</v>
      </c>
      <c r="Q8" s="110" t="n">
        <v>1</v>
      </c>
      <c r="R8" s="94" t="n">
        <v>0.2</v>
      </c>
      <c r="S8" s="93" t="inlineStr">
        <is>
          <t>Y</t>
        </is>
      </c>
      <c r="T8" s="112" t="inlineStr">
        <is>
          <t>없음</t>
        </is>
      </c>
      <c r="U8" s="76" t="inlineStr">
        <is>
          <t>거래소 고유 뉴스에 잔차가 안 돌아온다. 손절을 팩터 평균보다 가깝게.</t>
        </is>
      </c>
    </row>
    <row r="9" ht="36" customHeight="1" s="63">
      <c r="B9" s="98" t="n">
        <v>4</v>
      </c>
      <c r="C9" s="99" t="inlineStr">
        <is>
          <t>Factor</t>
        </is>
      </c>
      <c r="D9" s="93" t="inlineStr">
        <is>
          <t>SUI / BTC</t>
        </is>
      </c>
      <c r="E9" s="93" t="inlineStr">
        <is>
          <t>SUI</t>
        </is>
      </c>
      <c r="F9" s="93" t="inlineStr">
        <is>
          <t>BTC</t>
        </is>
      </c>
      <c r="G9" s="110" t="n">
        <v>1.55</v>
      </c>
      <c r="H9" s="110" t="n">
        <v>0.3</v>
      </c>
      <c r="I9" s="110" t="n">
        <v>3.4</v>
      </c>
      <c r="J9" s="111" t="n">
        <v>3</v>
      </c>
      <c r="K9" s="112" t="inlineStr">
        <is>
          <t>금지</t>
        </is>
      </c>
      <c r="L9" s="111" t="n">
        <v>60</v>
      </c>
      <c r="M9" s="110" t="n">
        <v>1.8</v>
      </c>
      <c r="N9" s="94" t="n">
        <v>0.08</v>
      </c>
      <c r="O9" s="111" t="n">
        <v>48</v>
      </c>
      <c r="P9" s="110" t="n">
        <v>0.9</v>
      </c>
      <c r="Q9" s="110" t="n">
        <v>1</v>
      </c>
      <c r="R9" s="94" t="n">
        <v>0.2</v>
      </c>
      <c r="S9" s="93" t="inlineStr">
        <is>
          <t>Y</t>
        </is>
      </c>
      <c r="T9" s="93" t="inlineStr">
        <is>
          <t>Pair 10</t>
        </is>
      </c>
      <c r="U9" s="76" t="inlineStr">
        <is>
          <t>고베타. 사이즈는 ETH보다 작게. APT 피어와 동시 금지.</t>
        </is>
      </c>
    </row>
    <row r="10" ht="36" customHeight="1" s="63">
      <c r="B10" s="98" t="n">
        <v>5</v>
      </c>
      <c r="C10" s="99" t="inlineStr">
        <is>
          <t>Factor</t>
        </is>
      </c>
      <c r="D10" s="93" t="inlineStr">
        <is>
          <t>XRP / BTC</t>
        </is>
      </c>
      <c r="E10" s="93" t="inlineStr">
        <is>
          <t>XRP</t>
        </is>
      </c>
      <c r="F10" s="93" t="inlineStr">
        <is>
          <t>BTC</t>
        </is>
      </c>
      <c r="G10" s="110" t="n">
        <v>1.8</v>
      </c>
      <c r="H10" s="110" t="n">
        <v>0.4</v>
      </c>
      <c r="I10" s="110" t="n">
        <v>3.2</v>
      </c>
      <c r="J10" s="111" t="n">
        <v>2</v>
      </c>
      <c r="K10" s="112" t="inlineStr">
        <is>
          <t>금지</t>
        </is>
      </c>
      <c r="L10" s="111" t="n">
        <v>48</v>
      </c>
      <c r="M10" s="110" t="n">
        <v>1.5</v>
      </c>
      <c r="N10" s="94" t="n">
        <v>0.1</v>
      </c>
      <c r="O10" s="111" t="n">
        <v>72</v>
      </c>
      <c r="P10" s="110" t="n">
        <v>0.6</v>
      </c>
      <c r="Q10" s="110" t="n">
        <v>0.8</v>
      </c>
      <c r="R10" s="94" t="n">
        <v>0.15</v>
      </c>
      <c r="S10" s="93" t="inlineStr">
        <is>
          <t>Y</t>
        </is>
      </c>
      <c r="T10" s="112" t="inlineStr">
        <is>
          <t>없음</t>
        </is>
      </c>
      <c r="U10" s="76" t="inlineStr">
        <is>
          <t>갭 리스크. 진입 높고 손절 가깝고 보유 짧게. 헤드라인 데이 신규 진입 금지.</t>
        </is>
      </c>
    </row>
    <row r="11" ht="36" customHeight="1" s="63">
      <c r="B11" s="98" t="n">
        <v>6</v>
      </c>
      <c r="C11" s="99" t="inlineStr">
        <is>
          <t>Factor</t>
        </is>
      </c>
      <c r="D11" s="93" t="inlineStr">
        <is>
          <t>ADA / BTC</t>
        </is>
      </c>
      <c r="E11" s="93" t="inlineStr">
        <is>
          <t>ADA</t>
        </is>
      </c>
      <c r="F11" s="93" t="inlineStr">
        <is>
          <t>BTC</t>
        </is>
      </c>
      <c r="G11" s="110" t="n">
        <v>1.75</v>
      </c>
      <c r="H11" s="110" t="n">
        <v>0.3</v>
      </c>
      <c r="I11" s="110" t="n">
        <v>3.6</v>
      </c>
      <c r="J11" s="111" t="n">
        <v>4</v>
      </c>
      <c r="K11" s="112" t="inlineStr">
        <is>
          <t>금지</t>
        </is>
      </c>
      <c r="L11" s="111" t="n">
        <v>72</v>
      </c>
      <c r="M11" s="110" t="n">
        <v>2</v>
      </c>
      <c r="N11" s="94" t="n">
        <v>0.1</v>
      </c>
      <c r="O11" s="111" t="n">
        <v>48</v>
      </c>
      <c r="P11" s="110" t="n">
        <v>0.7</v>
      </c>
      <c r="Q11" s="110" t="n">
        <v>1</v>
      </c>
      <c r="R11" s="94" t="n">
        <v>0.15</v>
      </c>
      <c r="S11" s="93" t="inlineStr">
        <is>
          <t>Y</t>
        </is>
      </c>
      <c r="T11" s="112" t="inlineStr">
        <is>
          <t>없음</t>
        </is>
      </c>
      <c r="U11" s="76" t="inlineStr">
        <is>
          <t>잔차 변동이 작다. 2σ &lt; 비용이면 밴드 무시하고 Off.</t>
        </is>
      </c>
    </row>
    <row r="12" ht="36" customHeight="1" s="63">
      <c r="B12" s="98" t="n">
        <v>7</v>
      </c>
      <c r="C12" s="99" t="inlineStr">
        <is>
          <t>Factor</t>
        </is>
      </c>
      <c r="D12" s="93" t="inlineStr">
        <is>
          <t>AVAX / BTC</t>
        </is>
      </c>
      <c r="E12" s="93" t="inlineStr">
        <is>
          <t>AVAX</t>
        </is>
      </c>
      <c r="F12" s="93" t="inlineStr">
        <is>
          <t>BTC</t>
        </is>
      </c>
      <c r="G12" s="110" t="n">
        <v>1.6</v>
      </c>
      <c r="H12" s="110" t="n">
        <v>0.3</v>
      </c>
      <c r="I12" s="110" t="n">
        <v>3.5</v>
      </c>
      <c r="J12" s="111" t="n">
        <v>3</v>
      </c>
      <c r="K12" s="112" t="inlineStr">
        <is>
          <t>금지</t>
        </is>
      </c>
      <c r="L12" s="111" t="n">
        <v>60</v>
      </c>
      <c r="M12" s="110" t="n">
        <v>1.8</v>
      </c>
      <c r="N12" s="94" t="n">
        <v>0.08</v>
      </c>
      <c r="O12" s="111" t="n">
        <v>48</v>
      </c>
      <c r="P12" s="110" t="n">
        <v>0.8</v>
      </c>
      <c r="Q12" s="110" t="n">
        <v>1</v>
      </c>
      <c r="R12" s="94" t="n">
        <v>0.18</v>
      </c>
      <c r="S12" s="93" t="inlineStr">
        <is>
          <t>Y</t>
        </is>
      </c>
      <c r="T12" s="93" t="inlineStr">
        <is>
          <t>Pair 12</t>
        </is>
      </c>
      <c r="U12" s="76" t="inlineStr">
        <is>
          <t>피어 AVAX-NEAR와 중복. 팩터 우선.</t>
        </is>
      </c>
    </row>
    <row r="13" ht="36" customHeight="1" s="63">
      <c r="B13" s="98" t="n">
        <v>8</v>
      </c>
      <c r="C13" s="99" t="inlineStr">
        <is>
          <t>Factor</t>
        </is>
      </c>
      <c r="D13" s="93" t="inlineStr">
        <is>
          <t>DOGE / BTC</t>
        </is>
      </c>
      <c r="E13" s="93" t="inlineStr">
        <is>
          <t>DOGE</t>
        </is>
      </c>
      <c r="F13" s="93" t="inlineStr">
        <is>
          <t>BTC</t>
        </is>
      </c>
      <c r="G13" s="110" t="n">
        <v>1.9</v>
      </c>
      <c r="H13" s="110" t="n">
        <v>0.4</v>
      </c>
      <c r="I13" s="110" t="n">
        <v>3.2</v>
      </c>
      <c r="J13" s="111" t="n">
        <v>2</v>
      </c>
      <c r="K13" s="112" t="inlineStr">
        <is>
          <t>금지</t>
        </is>
      </c>
      <c r="L13" s="111" t="n">
        <v>36</v>
      </c>
      <c r="M13" s="110" t="n">
        <v>1.5</v>
      </c>
      <c r="N13" s="94" t="n">
        <v>0.1</v>
      </c>
      <c r="O13" s="111" t="n">
        <v>72</v>
      </c>
      <c r="P13" s="110" t="n">
        <v>0.5</v>
      </c>
      <c r="Q13" s="110" t="n">
        <v>0.7</v>
      </c>
      <c r="R13" s="94" t="n">
        <v>0.12</v>
      </c>
      <c r="S13" s="93" t="inlineStr">
        <is>
          <t>Y</t>
        </is>
      </c>
      <c r="T13" s="112" t="inlineStr">
        <is>
          <t>없음</t>
        </is>
      </c>
      <c r="U13" s="76" t="inlineStr">
        <is>
          <t>주말·소셜 점프. 사이즈 절반. 금요일 16:00 UTC 이후 신규 진입 금지.</t>
        </is>
      </c>
    </row>
    <row r="14" ht="36" customHeight="1" s="63">
      <c r="B14" s="98" t="n">
        <v>9</v>
      </c>
      <c r="C14" s="102" t="inlineStr">
        <is>
          <t>Peer</t>
        </is>
      </c>
      <c r="D14" s="93" t="inlineStr">
        <is>
          <t>ETH / SOL</t>
        </is>
      </c>
      <c r="E14" s="93" t="inlineStr">
        <is>
          <t>ETH</t>
        </is>
      </c>
      <c r="F14" s="93" t="inlineStr">
        <is>
          <t>SOL</t>
        </is>
      </c>
      <c r="G14" s="110" t="n">
        <v>1.9</v>
      </c>
      <c r="H14" s="110" t="n">
        <v>0.35</v>
      </c>
      <c r="I14" s="110" t="n">
        <v>3.4</v>
      </c>
      <c r="J14" s="111" t="n">
        <v>3</v>
      </c>
      <c r="K14" s="112" t="inlineStr">
        <is>
          <t>금지</t>
        </is>
      </c>
      <c r="L14" s="111" t="n">
        <v>48</v>
      </c>
      <c r="M14" s="110" t="n">
        <v>1.5</v>
      </c>
      <c r="N14" s="94" t="n">
        <v>0.08</v>
      </c>
      <c r="O14" s="111" t="n">
        <v>48</v>
      </c>
      <c r="P14" s="110" t="n">
        <v>0.5</v>
      </c>
      <c r="Q14" s="110" t="n">
        <v>0.8</v>
      </c>
      <c r="R14" s="94" t="n">
        <v>0.15</v>
      </c>
      <c r="S14" s="93" t="inlineStr">
        <is>
          <t>Y</t>
        </is>
      </c>
      <c r="T14" s="93" t="inlineStr">
        <is>
          <t>Pair 1, 2</t>
        </is>
      </c>
      <c r="U14" s="76" t="inlineStr">
        <is>
          <t>기본 Off. 1과 2가 모두 Off일 때만 On. BTC 베타 차이를 두 번 먹지 말 것.</t>
        </is>
      </c>
    </row>
    <row r="15" ht="36" customHeight="1" s="63">
      <c r="B15" s="98" t="n">
        <v>10</v>
      </c>
      <c r="C15" s="102" t="inlineStr">
        <is>
          <t>Peer</t>
        </is>
      </c>
      <c r="D15" s="93" t="inlineStr">
        <is>
          <t>SUI / APT</t>
        </is>
      </c>
      <c r="E15" s="93" t="inlineStr">
        <is>
          <t>SUI</t>
        </is>
      </c>
      <c r="F15" s="93" t="inlineStr">
        <is>
          <t>APT</t>
        </is>
      </c>
      <c r="G15" s="110" t="n">
        <v>1.85</v>
      </c>
      <c r="H15" s="110" t="n">
        <v>0.35</v>
      </c>
      <c r="I15" s="110" t="n">
        <v>3.3</v>
      </c>
      <c r="J15" s="111" t="n">
        <v>3</v>
      </c>
      <c r="K15" s="112" t="inlineStr">
        <is>
          <t>금지</t>
        </is>
      </c>
      <c r="L15" s="111" t="n">
        <v>48</v>
      </c>
      <c r="M15" s="110" t="n">
        <v>1.5</v>
      </c>
      <c r="N15" s="94" t="n">
        <v>0.08</v>
      </c>
      <c r="O15" s="111" t="n">
        <v>48</v>
      </c>
      <c r="P15" s="110" t="n">
        <v>0.55</v>
      </c>
      <c r="Q15" s="110" t="n">
        <v>0.8</v>
      </c>
      <c r="R15" s="94" t="n">
        <v>0.12</v>
      </c>
      <c r="S15" s="93" t="inlineStr">
        <is>
          <t>Y</t>
        </is>
      </c>
      <c r="T15" s="93" t="inlineStr">
        <is>
          <t>Pair 4</t>
        </is>
      </c>
      <c r="U15" s="75" t="inlineStr">
        <is>
          <t>Move 피어. 4번 On이면 이 페어 Off. APT 깊이 매 형성마다 재확인.</t>
        </is>
      </c>
    </row>
    <row r="16" ht="36" customHeight="1" s="63">
      <c r="B16" s="98" t="n">
        <v>11</v>
      </c>
      <c r="C16" s="102" t="inlineStr">
        <is>
          <t>Peer</t>
        </is>
      </c>
      <c r="D16" s="93" t="inlineStr">
        <is>
          <t>ARB / OP</t>
        </is>
      </c>
      <c r="E16" s="93" t="inlineStr">
        <is>
          <t>ARB</t>
        </is>
      </c>
      <c r="F16" s="93" t="inlineStr">
        <is>
          <t>OP</t>
        </is>
      </c>
      <c r="G16" s="110" t="n">
        <v>1.85</v>
      </c>
      <c r="H16" s="110" t="n">
        <v>0.35</v>
      </c>
      <c r="I16" s="110" t="n">
        <v>3.3</v>
      </c>
      <c r="J16" s="111" t="n">
        <v>3</v>
      </c>
      <c r="K16" s="112" t="inlineStr">
        <is>
          <t>금지</t>
        </is>
      </c>
      <c r="L16" s="111" t="n">
        <v>48</v>
      </c>
      <c r="M16" s="110" t="n">
        <v>1.5</v>
      </c>
      <c r="N16" s="94" t="n">
        <v>0.08</v>
      </c>
      <c r="O16" s="111" t="n">
        <v>48</v>
      </c>
      <c r="P16" s="110" t="n">
        <v>0.55</v>
      </c>
      <c r="Q16" s="110" t="n">
        <v>0.8</v>
      </c>
      <c r="R16" s="94" t="n">
        <v>0.12</v>
      </c>
      <c r="S16" s="93" t="inlineStr">
        <is>
          <t>Y</t>
        </is>
      </c>
      <c r="T16" s="112" t="inlineStr">
        <is>
          <t>없음</t>
        </is>
      </c>
      <c r="U16" s="76" t="inlineStr">
        <is>
          <t>언락 캘린더 있는 주에는 신규 진입 금지. 호가 6bp 넘으면 Off.</t>
        </is>
      </c>
    </row>
    <row r="17" ht="36" customHeight="1" s="63">
      <c r="B17" s="98" t="n">
        <v>12</v>
      </c>
      <c r="C17" s="102" t="inlineStr">
        <is>
          <t>Peer</t>
        </is>
      </c>
      <c r="D17" s="93" t="inlineStr">
        <is>
          <t>AVAX / NEAR</t>
        </is>
      </c>
      <c r="E17" s="93" t="inlineStr">
        <is>
          <t>AVAX</t>
        </is>
      </c>
      <c r="F17" s="93" t="inlineStr">
        <is>
          <t>NEAR</t>
        </is>
      </c>
      <c r="G17" s="110" t="n">
        <v>1.85</v>
      </c>
      <c r="H17" s="110" t="n">
        <v>0.35</v>
      </c>
      <c r="I17" s="110" t="n">
        <v>3.3</v>
      </c>
      <c r="J17" s="111" t="n">
        <v>3</v>
      </c>
      <c r="K17" s="112" t="inlineStr">
        <is>
          <t>금지</t>
        </is>
      </c>
      <c r="L17" s="111" t="n">
        <v>48</v>
      </c>
      <c r="M17" s="110" t="n">
        <v>1.5</v>
      </c>
      <c r="N17" s="94" t="n">
        <v>0.08</v>
      </c>
      <c r="O17" s="111" t="n">
        <v>48</v>
      </c>
      <c r="P17" s="110" t="n">
        <v>0.5</v>
      </c>
      <c r="Q17" s="110" t="n">
        <v>0.8</v>
      </c>
      <c r="R17" s="94" t="n">
        <v>0.12</v>
      </c>
      <c r="S17" s="93" t="inlineStr">
        <is>
          <t>Y</t>
        </is>
      </c>
      <c r="T17" s="93" t="inlineStr">
        <is>
          <t>Pair 7</t>
        </is>
      </c>
      <c r="U17" s="75" t="inlineStr">
        <is>
          <t>7번 우선. 테마가 갈리면 관계가 바로 죽는다.</t>
        </is>
      </c>
    </row>
    <row r="18" ht="36" customHeight="1" s="63">
      <c r="B18" s="98" t="n">
        <v>13</v>
      </c>
      <c r="C18" s="102" t="inlineStr">
        <is>
          <t>Peer</t>
        </is>
      </c>
      <c r="D18" s="93" t="inlineStr">
        <is>
          <t>AAVE / LINK</t>
        </is>
      </c>
      <c r="E18" s="93" t="inlineStr">
        <is>
          <t>AAVE</t>
        </is>
      </c>
      <c r="F18" s="93" t="inlineStr">
        <is>
          <t>LINK</t>
        </is>
      </c>
      <c r="G18" s="110" t="n">
        <v>1.8</v>
      </c>
      <c r="H18" s="110" t="n">
        <v>0.3</v>
      </c>
      <c r="I18" s="110" t="n">
        <v>3.4</v>
      </c>
      <c r="J18" s="111" t="n">
        <v>3</v>
      </c>
      <c r="K18" s="112" t="inlineStr">
        <is>
          <t>금지</t>
        </is>
      </c>
      <c r="L18" s="111" t="n">
        <v>60</v>
      </c>
      <c r="M18" s="110" t="n">
        <v>1.8</v>
      </c>
      <c r="N18" s="94" t="n">
        <v>0.08</v>
      </c>
      <c r="O18" s="111" t="n">
        <v>48</v>
      </c>
      <c r="P18" s="110" t="n">
        <v>0.6</v>
      </c>
      <c r="Q18" s="110" t="n">
        <v>0.9</v>
      </c>
      <c r="R18" s="94" t="n">
        <v>0.15</v>
      </c>
      <c r="S18" s="93" t="inlineStr">
        <is>
          <t>Y</t>
        </is>
      </c>
      <c r="T18" s="93" t="inlineStr">
        <is>
          <t>Pair 14</t>
        </is>
      </c>
      <c r="U18" s="76" t="inlineStr">
        <is>
          <t>디파이 인프라. 14와 둘 중 점수 높은 쪽만.</t>
        </is>
      </c>
    </row>
    <row r="19" ht="36" customHeight="1" s="63">
      <c r="B19" s="98" t="n">
        <v>14</v>
      </c>
      <c r="C19" s="102" t="inlineStr">
        <is>
          <t>Peer</t>
        </is>
      </c>
      <c r="D19" s="93" t="inlineStr">
        <is>
          <t>UNI / AAVE</t>
        </is>
      </c>
      <c r="E19" s="93" t="inlineStr">
        <is>
          <t>UNI</t>
        </is>
      </c>
      <c r="F19" s="93" t="inlineStr">
        <is>
          <t>AAVE</t>
        </is>
      </c>
      <c r="G19" s="110" t="n">
        <v>1.8</v>
      </c>
      <c r="H19" s="110" t="n">
        <v>0.3</v>
      </c>
      <c r="I19" s="110" t="n">
        <v>3.4</v>
      </c>
      <c r="J19" s="111" t="n">
        <v>3</v>
      </c>
      <c r="K19" s="112" t="inlineStr">
        <is>
          <t>금지</t>
        </is>
      </c>
      <c r="L19" s="111" t="n">
        <v>60</v>
      </c>
      <c r="M19" s="110" t="n">
        <v>1.8</v>
      </c>
      <c r="N19" s="94" t="n">
        <v>0.08</v>
      </c>
      <c r="O19" s="111" t="n">
        <v>48</v>
      </c>
      <c r="P19" s="110" t="n">
        <v>0.55</v>
      </c>
      <c r="Q19" s="110" t="n">
        <v>0.9</v>
      </c>
      <c r="R19" s="94" t="n">
        <v>0.15</v>
      </c>
      <c r="S19" s="93" t="inlineStr">
        <is>
          <t>Y</t>
        </is>
      </c>
      <c r="T19" s="93" t="inlineStr">
        <is>
          <t>Pair 13</t>
        </is>
      </c>
      <c r="U19" s="75" t="inlineStr">
        <is>
          <t>UNI 수수료 스위치·AAVE 청산 이벤트 주 Off.</t>
        </is>
      </c>
    </row>
    <row r="20" ht="36" customHeight="1" s="63">
      <c r="B20" s="98" t="n">
        <v>15</v>
      </c>
      <c r="C20" s="102" t="inlineStr">
        <is>
          <t>Peer</t>
        </is>
      </c>
      <c r="D20" s="93" t="inlineStr">
        <is>
          <t>LDO / ETH</t>
        </is>
      </c>
      <c r="E20" s="93" t="inlineStr">
        <is>
          <t>LDO</t>
        </is>
      </c>
      <c r="F20" s="93" t="inlineStr">
        <is>
          <t>ETH</t>
        </is>
      </c>
      <c r="G20" s="110" t="n">
        <v>1.9</v>
      </c>
      <c r="H20" s="110" t="n">
        <v>0.4</v>
      </c>
      <c r="I20" s="110" t="n">
        <v>3.2</v>
      </c>
      <c r="J20" s="111" t="n">
        <v>2</v>
      </c>
      <c r="K20" s="112" t="inlineStr">
        <is>
          <t>금지</t>
        </is>
      </c>
      <c r="L20" s="111" t="n">
        <v>36</v>
      </c>
      <c r="M20" s="110" t="n">
        <v>1.5</v>
      </c>
      <c r="N20" s="94" t="n">
        <v>0.1</v>
      </c>
      <c r="O20" s="111" t="n">
        <v>72</v>
      </c>
      <c r="P20" s="110" t="n">
        <v>0.45</v>
      </c>
      <c r="Q20" s="110" t="n">
        <v>0.7</v>
      </c>
      <c r="R20" s="94" t="n">
        <v>0.1</v>
      </c>
      <c r="S20" s="93" t="inlineStr">
        <is>
          <t>Y</t>
        </is>
      </c>
      <c r="T20" s="93" t="inlineStr">
        <is>
          <t>Pair 1</t>
        </is>
      </c>
      <c r="U20" s="75" t="inlineStr">
        <is>
          <t>LDO는 ETH 페그가 아니다. 1번 ETH/BTC와 동시 금지. 거버넌스 투표 구간 Off.</t>
        </is>
      </c>
    </row>
    <row r="22" ht="15" customHeight="1" s="63">
      <c r="B22" s="73" t="inlineStr">
        <is>
          <t>읽는 법</t>
        </is>
      </c>
    </row>
    <row r="23" ht="15" customHeight="1" s="63">
      <c r="B23" s="113" t="inlineStr">
        <is>
          <t>진입: |z|가 진입값을 아래에서 위로 돌파할 때만. 이미 멀리 가 있는 상태 추격 금지.
청산: |z|가 청산값 아래로 복귀. 같은 선에서 들락날락하지 않도록 진입과 청산을 분리했다.
손절: |z|가 손절값을 넘은 뒤 '손절지속 h' 동안 유지되거나, 보유 중 z가 진입 반대 방향으로 +1.0을 넘으면 청산.
반대플립=금지: 손절·청산 후 같은 봉에서 반대 진입하지 않는다. 쿨다운을 기다린다.
최대보유 h와 HL배수 중 먼저 오는 것. 형성에서 구한 HL × 배수와 최대보유의 min.
사이즈: 명목 N = (자산 × 1σ리스크 × 1σ배수 × 사이즈가중) / σ_spread_notional. 마진상한을 넘으면 N을 줄인다.</t>
        </is>
      </c>
    </row>
    <row r="24" ht="15" customHeight="1" s="63"/>
    <row r="25" ht="15" customHeight="1" s="63"/>
    <row r="26" ht="15" customHeight="1" s="63"/>
    <row r="28" ht="19.4" customHeight="1" s="63">
      <c r="B28" s="73" t="inlineStr">
        <is>
          <t>공통 시그널 의사코드 (모든 페어 동일, 임계만 행마다 다름)</t>
        </is>
      </c>
    </row>
    <row r="29" ht="15" customHeight="1" s="63">
      <c r="B29" s="74" t="inlineStr">
        <is>
          <t>상태</t>
        </is>
      </c>
      <c r="C29" s="74" t="inlineStr">
        <is>
          <t>조건</t>
        </is>
      </c>
      <c r="D29" s="74" t="inlineStr">
        <is>
          <t>행동</t>
        </is>
      </c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70" t="n"/>
    </row>
    <row r="30" ht="21.75" customHeight="1" s="63">
      <c r="B30" s="75" t="inlineStr">
        <is>
          <t>Flat</t>
        </is>
      </c>
      <c r="C30" s="75" t="inlineStr">
        <is>
          <t>Hard 통과 AND burn-in 끝 AND |z|가 진입값을 상향 돌파 AND 이벤트 게이트 통과</t>
        </is>
      </c>
      <c r="D30" s="114" t="inlineStr">
        <is>
          <t>z&gt;0 이면 숏 스프레드, z&lt;0 이면 롱 스프레드. β는 이 봉 값으로 고정.</t>
        </is>
      </c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</row>
    <row r="31" ht="21.75" customHeight="1" s="63">
      <c r="B31" s="78" t="inlineStr">
        <is>
          <t>In position</t>
        </is>
      </c>
      <c r="C31" s="78" t="inlineStr">
        <is>
          <t>|z| ≤ 청산값</t>
        </is>
      </c>
      <c r="D31" s="115" t="inlineStr">
        <is>
          <t>전량 청산. 쿨다운 시작 안 함 (정상 회귀).</t>
        </is>
      </c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</row>
    <row r="32" ht="21.75" customHeight="1" s="63">
      <c r="B32" s="75" t="inlineStr">
        <is>
          <t>In position</t>
        </is>
      </c>
      <c r="C32" s="75" t="inlineStr">
        <is>
          <t>|z| ≥ 손절값 지속 h시간  OR  z가 진입 반대 +1.0  OR  최대보유/HL배수 도달</t>
        </is>
      </c>
      <c r="D32" s="116" t="inlineStr">
        <is>
          <t>전량 청산. 쿨다운 시작.</t>
        </is>
      </c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</row>
    <row r="33" ht="21.75" customHeight="1" s="63">
      <c r="B33" s="78" t="inlineStr">
        <is>
          <t>In position</t>
        </is>
      </c>
      <c r="C33" s="79" t="inlineStr">
        <is>
          <t>이벤트 게이트 실패 (해킹·언락·한쪽 규제·체인스톱·상장폐지)</t>
        </is>
      </c>
      <c r="D33" s="115" t="inlineStr">
        <is>
          <t>즉시 청산. 쿨다운 시작. 해당 페어 형성 재계산 전까지 Off.</t>
        </is>
      </c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</row>
    <row r="34" ht="21.75" customHeight="1" s="63">
      <c r="B34" s="75" t="inlineStr">
        <is>
          <t>In position</t>
        </is>
      </c>
      <c r="C34" s="75" t="inlineStr">
        <is>
          <t>|Δβ|/β ≥ 리헤지 임계</t>
        </is>
      </c>
      <c r="D34" s="114" t="inlineStr">
        <is>
          <t>X 다리만 목표 노셔널로 조정. Y는 유지.</t>
        </is>
      </c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</row>
    <row r="35" ht="21.75" customHeight="1" s="63">
      <c r="B35" s="78" t="inlineStr">
        <is>
          <t>Any</t>
        </is>
      </c>
      <c r="C35" s="79" t="inlineStr">
        <is>
          <t>거래 창 10일 종료</t>
        </is>
      </c>
      <c r="D35" s="115" t="inlineStr">
        <is>
          <t>전량 청산. 재스크리닝.</t>
        </is>
      </c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</row>
    <row r="37" ht="15" customHeight="1" s="63">
      <c r="B37" s="117" t="inlineStr">
        <is>
          <t>밴드 설계 메모: 팩터 코어(ETH, SOL)는 진입 1.50~1.60. 점프형(XRP, DOGE, LDO)은 진입 1.80~1.90 + 짧은 보유 + 가까운 손절. 피어는 기본적으로 진입을 팩터보다 0.25~0.40 높게 잠갔다. 비용과 관계 붕괴를 감안한 값이다. v1.0에서 이 숫자를 백테스트로 미세조정하려면 03 시트의 노란 칸만 바꾸고 Cover 버전을 1.1로 올린다.</t>
        </is>
      </c>
    </row>
    <row r="38" ht="15" customHeight="1" s="63"/>
  </sheetData>
  <autoFilter ref="B5:U20"/>
  <mergeCells count="18">
    <mergeCell ref="B4:F4"/>
    <mergeCell ref="D30:U30"/>
    <mergeCell ref="M4:P4"/>
    <mergeCell ref="B2:V2"/>
    <mergeCell ref="B23:U26"/>
    <mergeCell ref="D33:U33"/>
    <mergeCell ref="D34:U34"/>
    <mergeCell ref="B3:V3"/>
    <mergeCell ref="Q4:S4"/>
    <mergeCell ref="T4:V4"/>
    <mergeCell ref="D29:U29"/>
    <mergeCell ref="D32:U32"/>
    <mergeCell ref="G4:L4"/>
    <mergeCell ref="D31:U31"/>
    <mergeCell ref="B28:U28"/>
    <mergeCell ref="B22:U22"/>
    <mergeCell ref="D35:U35"/>
    <mergeCell ref="B37:U38"/>
  </mergeCells>
  <printOptions horizontalCentered="0" verticalCentered="0" headings="0" gridLines="0" gridLinesSet="1"/>
  <pageMargins left="0.75" right="0.75" top="1" bottom="1" header="0.5" footer="0.5"/>
  <pageSetup orientation="landscape" paperSize="3" scale="100" fitToHeight="0" fitToWidth="1" pageOrder="downThenOver" blackAndWhite="0" draft="0" horizontalDpi="300" verticalDpi="300" copies="1"/>
  <headerFooter differentOddEven="0" differentFirst="0">
    <oddHeader>&amp;L03 Pair Bands LOCKED</oddHeader>
    <oddFooter>&amp;Lz = e / sqrt(S)  ·  do not chase&amp;COKX Kalman MR  ·  v1.0 LOCKED  ·  not investment advice&amp;RPage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B2:H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16" customWidth="1" style="62" min="2" max="2"/>
    <col width="28" customWidth="1" style="62" min="3" max="5"/>
    <col width="36" customWidth="1" style="62" min="6" max="6"/>
    <col width="16" customWidth="1" style="62" min="7" max="7"/>
  </cols>
  <sheetData>
    <row r="2" ht="27.6" customHeight="1" s="63">
      <c r="B2" s="83" t="inlineStr">
        <is>
          <t>04  ·  형성 구간 스크리닝 (30일 × 1시간 mark)</t>
        </is>
      </c>
    </row>
    <row r="3" ht="15" customHeight="1" s="63">
      <c r="B3" s="84" t="inlineStr">
        <is>
          <t>Hard 하나라도 실패하면 03의 밴드와 무관하게 Off. Soft는 통과자 순위만.</t>
        </is>
      </c>
    </row>
    <row r="5" ht="19.4" customHeight="1" s="63">
      <c r="B5" s="118" t="inlineStr">
        <is>
          <t>Hard 필터</t>
        </is>
      </c>
    </row>
    <row r="6" ht="15" customHeight="1" s="63">
      <c r="B6" s="74" t="inlineStr">
        <is>
          <t>단계</t>
        </is>
      </c>
      <c r="C6" s="74" t="inlineStr">
        <is>
          <t>항목</t>
        </is>
      </c>
      <c r="D6" s="74" t="inlineStr">
        <is>
          <t>팩터북</t>
        </is>
      </c>
      <c r="E6" s="74" t="inlineStr">
        <is>
          <t>피어북</t>
        </is>
      </c>
      <c r="F6" s="74" t="inlineStr">
        <is>
          <t>실패 시</t>
        </is>
      </c>
    </row>
    <row r="7" ht="19.5" customHeight="1" s="63">
      <c r="B7" s="75" t="inlineStr">
        <is>
          <t>0 데이터</t>
        </is>
      </c>
      <c r="C7" s="76" t="inlineStr">
        <is>
          <t>봉·가격</t>
        </is>
      </c>
      <c r="D7" s="75" t="inlineStr">
        <is>
          <t>1h mark, ln(P), 결측 2h 연속 금지</t>
        </is>
      </c>
      <c r="E7" s="76" t="inlineStr">
        <is>
          <t>동일</t>
        </is>
      </c>
      <c r="F7" s="76" t="inlineStr">
        <is>
          <t>창 무효</t>
        </is>
      </c>
    </row>
    <row r="8" ht="19.5" customHeight="1" s="63">
      <c r="B8" s="78" t="inlineStr">
        <is>
          <t>0 데이터</t>
        </is>
      </c>
      <c r="C8" s="79" t="inlineStr">
        <is>
          <t>상장 기간</t>
        </is>
      </c>
      <c r="D8" s="78" t="inlineStr">
        <is>
          <t>≥ 180일</t>
        </is>
      </c>
      <c r="E8" s="78" t="inlineStr">
        <is>
          <t>≥ 180일</t>
        </is>
      </c>
      <c r="F8" s="78" t="inlineStr">
        <is>
          <t>Out</t>
        </is>
      </c>
    </row>
    <row r="9" ht="19.5" customHeight="1" s="63">
      <c r="B9" s="119" t="inlineStr">
        <is>
          <t>1 유동성</t>
        </is>
      </c>
      <c r="C9" s="75" t="inlineStr">
        <is>
          <t>24h 거래대금 중앙값</t>
        </is>
      </c>
      <c r="D9" s="75" t="inlineStr">
        <is>
          <t>≥ $50M</t>
        </is>
      </c>
      <c r="E9" s="75" t="inlineStr">
        <is>
          <t>≥ $20M</t>
        </is>
      </c>
      <c r="F9" s="75" t="inlineStr">
        <is>
          <t>Out</t>
        </is>
      </c>
    </row>
    <row r="10" ht="19.5" customHeight="1" s="63">
      <c r="B10" s="119" t="inlineStr">
        <is>
          <t>1 유동성</t>
        </is>
      </c>
      <c r="C10" s="78" t="inlineStr">
        <is>
          <t>OI 중앙값</t>
        </is>
      </c>
      <c r="D10" s="78" t="inlineStr">
        <is>
          <t>≥ $30M</t>
        </is>
      </c>
      <c r="E10" s="78" t="inlineStr">
        <is>
          <t>≥ $12M</t>
        </is>
      </c>
      <c r="F10" s="78" t="inlineStr">
        <is>
          <t>Out</t>
        </is>
      </c>
    </row>
    <row r="11" ht="19.5" customHeight="1" s="63">
      <c r="B11" s="119" t="inlineStr">
        <is>
          <t>1 유동성</t>
        </is>
      </c>
      <c r="C11" s="75" t="inlineStr">
        <is>
          <t>$10k 반스프레드</t>
        </is>
      </c>
      <c r="D11" s="75" t="inlineStr">
        <is>
          <t>≤ 3bp</t>
        </is>
      </c>
      <c r="E11" s="75" t="inlineStr">
        <is>
          <t>≤ 6bp</t>
        </is>
      </c>
      <c r="F11" s="75" t="inlineStr">
        <is>
          <t>Out</t>
        </is>
      </c>
    </row>
    <row r="12" ht="19.5" customHeight="1" s="63">
      <c r="B12" s="119" t="inlineStr">
        <is>
          <t>1 비용</t>
        </is>
      </c>
      <c r="C12" s="78" t="inlineStr">
        <is>
          <t>7d 평균 |펀딩|/8h</t>
        </is>
      </c>
      <c r="D12" s="78" t="inlineStr">
        <is>
          <t>≤ 0.03%</t>
        </is>
      </c>
      <c r="E12" s="78" t="inlineStr">
        <is>
          <t>≤ 0.05%</t>
        </is>
      </c>
      <c r="F12" s="78" t="inlineStr">
        <is>
          <t>Out</t>
        </is>
      </c>
    </row>
    <row r="13" ht="19.5" customHeight="1" s="63">
      <c r="B13" s="119" t="inlineStr">
        <is>
          <t>1 비용</t>
        </is>
      </c>
      <c r="C13" s="76" t="inlineStr">
        <is>
          <t>펀딩 한방향 지속</t>
        </is>
      </c>
      <c r="D13" s="75" t="inlineStr">
        <is>
          <t>≤ 7일</t>
        </is>
      </c>
      <c r="E13" s="75" t="inlineStr">
        <is>
          <t>≤ 7일</t>
        </is>
      </c>
      <c r="F13" s="75" t="inlineStr">
        <is>
          <t>8일이면 Out</t>
        </is>
      </c>
    </row>
    <row r="14" ht="19.5" customHeight="1" s="63">
      <c r="B14" s="119" t="inlineStr">
        <is>
          <t>1 비용</t>
        </is>
      </c>
      <c r="C14" s="78" t="inlineStr">
        <is>
          <t>2σ_e vs 왕복비용</t>
        </is>
      </c>
      <c r="D14" s="78" t="inlineStr">
        <is>
          <t>2σ &gt; 2.5 × 팩터비용</t>
        </is>
      </c>
      <c r="E14" s="78" t="inlineStr">
        <is>
          <t>2σ &gt; 2.5 × 피어비용</t>
        </is>
      </c>
      <c r="F14" s="78" t="inlineStr">
        <is>
          <t>Out</t>
        </is>
      </c>
    </row>
    <row r="15" ht="19.5" customHeight="1" s="63">
      <c r="B15" s="120" t="inlineStr">
        <is>
          <t>2 관계</t>
        </is>
      </c>
      <c r="C15" s="76" t="inlineStr">
        <is>
          <t>로그수익 상관 ρ</t>
        </is>
      </c>
      <c r="D15" s="75" t="inlineStr">
        <is>
          <t>0.55 ~ 0.92</t>
        </is>
      </c>
      <c r="E15" s="75" t="inlineStr">
        <is>
          <t>0.55 ~ 0.92</t>
        </is>
      </c>
      <c r="F15" s="75" t="inlineStr">
        <is>
          <t>Out</t>
        </is>
      </c>
    </row>
    <row r="16" ht="19.5" customHeight="1" s="63">
      <c r="B16" s="120" t="inlineStr">
        <is>
          <t>2 관계</t>
        </is>
      </c>
      <c r="C16" s="79" t="inlineStr">
        <is>
          <t>잔차 반감기 HL</t>
        </is>
      </c>
      <c r="D16" s="78" t="inlineStr">
        <is>
          <t>6h ~ 10d</t>
        </is>
      </c>
      <c r="E16" s="78" t="inlineStr">
        <is>
          <t>6h ~ 10d</t>
        </is>
      </c>
      <c r="F16" s="78" t="inlineStr">
        <is>
          <t>Out</t>
        </is>
      </c>
    </row>
    <row r="17" ht="19.5" customHeight="1" s="63">
      <c r="B17" s="120" t="inlineStr">
        <is>
          <t>2 관계</t>
        </is>
      </c>
      <c r="C17" s="75" t="inlineStr">
        <is>
          <t>Hurst(잔차)</t>
        </is>
      </c>
      <c r="D17" s="75" t="inlineStr">
        <is>
          <t>&lt; 0.48</t>
        </is>
      </c>
      <c r="E17" s="75" t="inlineStr">
        <is>
          <t>&lt; 0.48</t>
        </is>
      </c>
      <c r="F17" s="75" t="inlineStr">
        <is>
          <t>Out</t>
        </is>
      </c>
    </row>
    <row r="18" ht="19.5" customHeight="1" s="63">
      <c r="B18" s="120" t="inlineStr">
        <is>
          <t>2 관계</t>
        </is>
      </c>
      <c r="C18" s="78" t="inlineStr">
        <is>
          <t>ADF p (잔차)</t>
        </is>
      </c>
      <c r="D18" s="78" t="inlineStr">
        <is>
          <t>&lt; 0.15</t>
        </is>
      </c>
      <c r="E18" s="78" t="inlineStr">
        <is>
          <t>&lt; 0.15</t>
        </is>
      </c>
      <c r="F18" s="78" t="inlineStr">
        <is>
          <t>Hurst&gt;0.55 AND p&gt;0.3 이면 Out</t>
        </is>
      </c>
    </row>
    <row r="19" ht="19.5" customHeight="1" s="63">
      <c r="B19" s="120" t="inlineStr">
        <is>
          <t>2 관계</t>
        </is>
      </c>
      <c r="C19" s="75" t="inlineStr">
        <is>
          <t>β IQR / |median β|</t>
        </is>
      </c>
      <c r="D19" s="75" t="inlineStr">
        <is>
          <t>&lt; 0.40</t>
        </is>
      </c>
      <c r="E19" s="75" t="inlineStr">
        <is>
          <t>&lt; 0.40</t>
        </is>
      </c>
      <c r="F19" s="75" t="inlineStr">
        <is>
          <t>Out</t>
        </is>
      </c>
    </row>
    <row r="20" ht="19.5" customHeight="1" s="63">
      <c r="B20" s="120" t="inlineStr">
        <is>
          <t>2 관계</t>
        </is>
      </c>
      <c r="C20" s="78" t="inlineStr">
        <is>
          <t>|z|&gt;4.5 발생</t>
        </is>
      </c>
      <c r="D20" s="78" t="inlineStr">
        <is>
          <t>≤ 2회 / 30d</t>
        </is>
      </c>
      <c r="E20" s="78" t="inlineStr">
        <is>
          <t>≤ 2회 / 30d</t>
        </is>
      </c>
      <c r="F20" s="78" t="inlineStr">
        <is>
          <t>Out</t>
        </is>
      </c>
    </row>
    <row r="21" ht="19.5" customHeight="1" s="63">
      <c r="B21" s="120" t="inlineStr">
        <is>
          <t>2 관계</t>
        </is>
      </c>
      <c r="C21" s="76" t="inlineStr">
        <is>
          <t>한쪽만 급변</t>
        </is>
      </c>
      <c r="D21" s="75" t="inlineStr">
        <is>
          <t>12h 중 Y±20% &amp; X±5% 이내 ≤2회</t>
        </is>
      </c>
      <c r="E21" s="76" t="inlineStr">
        <is>
          <t>동일</t>
        </is>
      </c>
      <c r="F21" s="75" t="inlineStr">
        <is>
          <t>3회면 Out</t>
        </is>
      </c>
    </row>
    <row r="22" ht="19.5" customHeight="1" s="63">
      <c r="B22" s="120" t="inlineStr">
        <is>
          <t>2 관계</t>
        </is>
      </c>
      <c r="C22" s="78" t="inlineStr">
        <is>
          <t>corr(Δfunding, e)</t>
        </is>
      </c>
      <c r="D22" s="78" t="inlineStr">
        <is>
          <t>|ρ| ≤ 0.35</t>
        </is>
      </c>
      <c r="E22" s="78" t="inlineStr">
        <is>
          <t>|ρ| ≤ 0.35</t>
        </is>
      </c>
      <c r="F22" s="78" t="inlineStr">
        <is>
          <t>Out</t>
        </is>
      </c>
    </row>
    <row r="25" ht="19.4" customHeight="1" s="63">
      <c r="B25" s="118" t="inlineStr">
        <is>
          <t>Soft 점수 (Hard 통과자만, 100점)</t>
        </is>
      </c>
    </row>
    <row r="26" ht="15" customHeight="1" s="63">
      <c r="B26" s="74" t="inlineStr">
        <is>
          <t>항목</t>
        </is>
      </c>
      <c r="C26" s="74" t="inlineStr">
        <is>
          <t>배점</t>
        </is>
      </c>
      <c r="D26" s="74" t="inlineStr">
        <is>
          <t>만점 기준</t>
        </is>
      </c>
      <c r="E26" s="74" t="inlineStr">
        <is>
          <t>감점</t>
        </is>
      </c>
    </row>
    <row r="27" ht="19.5" customHeight="1" s="63">
      <c r="B27" s="76" t="inlineStr">
        <is>
          <t>반감기 1~4일</t>
        </is>
      </c>
      <c r="C27" s="76" t="n">
        <v>25</v>
      </c>
      <c r="D27" s="75" t="inlineStr">
        <is>
          <t>HL ∈ [24h, 96h]</t>
        </is>
      </c>
      <c r="E27" s="75" t="inlineStr">
        <is>
          <t>6~24h 또는 4~10일이면 12점, 경계 밖은 Hard Out</t>
        </is>
      </c>
    </row>
    <row r="28" ht="19.5" customHeight="1" s="63">
      <c r="B28" s="75" t="inlineStr">
        <is>
          <t>2σ / 왕복비용</t>
        </is>
      </c>
      <c r="C28" s="76" t="n">
        <v>20</v>
      </c>
      <c r="D28" s="76" t="inlineStr">
        <is>
          <t>비율 ≥ 5</t>
        </is>
      </c>
      <c r="E28" s="75" t="inlineStr">
        <is>
          <t>2.5~5는 선형. 2.5 미만 Hard Out</t>
        </is>
      </c>
    </row>
    <row r="29" ht="19.5" customHeight="1" s="63">
      <c r="B29" s="75" t="inlineStr">
        <is>
          <t>Hurst</t>
        </is>
      </c>
      <c r="C29" s="76" t="n">
        <v>15</v>
      </c>
      <c r="D29" s="75" t="inlineStr">
        <is>
          <t>H ≤ 0.35</t>
        </is>
      </c>
      <c r="E29" s="75" t="inlineStr">
        <is>
          <t>0.35~0.48 선형 감점</t>
        </is>
      </c>
    </row>
    <row r="30" ht="19.5" customHeight="1" s="63">
      <c r="B30" s="75" t="inlineStr">
        <is>
          <t>β 안정</t>
        </is>
      </c>
      <c r="C30" s="76" t="n">
        <v>15</v>
      </c>
      <c r="D30" s="75" t="inlineStr">
        <is>
          <t>IQR/median ≤ 0.15</t>
        </is>
      </c>
      <c r="E30" s="75" t="inlineStr">
        <is>
          <t>0.15~0.40 선형</t>
        </is>
      </c>
    </row>
    <row r="31" ht="19.5" customHeight="1" s="63">
      <c r="B31" s="76" t="inlineStr">
        <is>
          <t>점프 횟수</t>
        </is>
      </c>
      <c r="C31" s="76" t="n">
        <v>10</v>
      </c>
      <c r="D31" s="75" t="inlineStr">
        <is>
          <t>4.5σ 0회</t>
        </is>
      </c>
      <c r="E31" s="75" t="inlineStr">
        <is>
          <t>1회 5점, 2회 0점</t>
        </is>
      </c>
    </row>
    <row r="32" ht="19.5" customHeight="1" s="63">
      <c r="B32" s="76" t="inlineStr">
        <is>
          <t>펀딩-잔차 상관</t>
        </is>
      </c>
      <c r="C32" s="76" t="n">
        <v>10</v>
      </c>
      <c r="D32" s="75" t="inlineStr">
        <is>
          <t>|ρ| ≤ 0.10</t>
        </is>
      </c>
      <c r="E32" s="75" t="inlineStr">
        <is>
          <t>0.10~0.35 선형</t>
        </is>
      </c>
    </row>
    <row r="33" ht="19.5" customHeight="1" s="63">
      <c r="B33" s="76" t="inlineStr">
        <is>
          <t>깊이 (OI·볼륨)</t>
        </is>
      </c>
      <c r="C33" s="76" t="n">
        <v>5</v>
      </c>
      <c r="D33" s="76" t="inlineStr">
        <is>
          <t>팩터 중앙값의 상위 30%</t>
        </is>
      </c>
      <c r="E33" s="76" t="inlineStr">
        <is>
          <t>하한만 넘으면 2점</t>
        </is>
      </c>
    </row>
    <row r="35" ht="15" customHeight="1" s="63">
      <c r="B35" s="73" t="inlineStr">
        <is>
          <t>거래 허용 규칙</t>
        </is>
      </c>
    </row>
    <row r="36" ht="15" customHeight="1" s="63">
      <c r="B36" s="121" t="inlineStr">
        <is>
          <t>Hard 전부 통과 AND Soft ≥ 60  →  On 후보.
점수 상위 최대 4개만 실거래. 동점은 왕복비용 대비 2σ가 큰 쪽.
한 달이 지나도 통과가 2개 이하면 유니버스가 죽은 장으로 보고 신규 진입을 중단한다.</t>
        </is>
      </c>
    </row>
    <row r="37" ht="15" customHeight="1" s="63"/>
    <row r="38" ht="15" customHeight="1" s="63"/>
  </sheetData>
  <mergeCells count="3">
    <mergeCell ref="B3:H3"/>
    <mergeCell ref="B2:H2"/>
    <mergeCell ref="B36:F38"/>
  </mergeCells>
  <printOptions horizontalCentered="0" verticalCentered="0" headings="0" gridLines="0" gridLinesSet="1"/>
  <pageMargins left="0.75" right="0.75" top="1" bottom="1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&amp;L04 Screening</oddHeader>
    <oddFooter>&amp;COKX Kalman MR  ·  v1.0 LOCKED  ·  not investment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B2:G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12" customWidth="1" style="62" min="2" max="2"/>
    <col width="40" customWidth="1" style="62" min="3" max="3"/>
    <col width="36" customWidth="1" style="62" min="4" max="4"/>
    <col width="22" customWidth="1" style="62" min="5" max="5"/>
    <col width="28" customWidth="1" style="62" min="6" max="6"/>
    <col width="16" customWidth="1" style="62" min="7" max="7"/>
  </cols>
  <sheetData>
    <row r="2" ht="27.6" customHeight="1" s="63">
      <c r="B2" s="83" t="inlineStr">
        <is>
          <t>05  ·  중복 노출 · 동시 진입 금지</t>
        </is>
      </c>
    </row>
    <row r="3" ht="15" customHeight="1" s="63">
      <c r="B3" s="96" t="inlineStr">
        <is>
          <t>잔차가 같아 보이는 페어를 두 번 사지 않기 위한 표.</t>
        </is>
      </c>
    </row>
    <row r="5" ht="15" customHeight="1" s="63">
      <c r="B5" s="74" t="inlineStr">
        <is>
          <t>그룹</t>
        </is>
      </c>
      <c r="C5" s="74" t="inlineStr">
        <is>
          <t>구성 페어</t>
        </is>
      </c>
      <c r="D5" s="74" t="inlineStr">
        <is>
          <t>규칙</t>
        </is>
      </c>
      <c r="E5" s="74" t="inlineStr">
        <is>
          <t>우선순위</t>
        </is>
      </c>
      <c r="F5" s="74" t="inlineStr">
        <is>
          <t>합산 마진 상한</t>
        </is>
      </c>
    </row>
    <row r="6" ht="21.75" customHeight="1" s="63">
      <c r="B6" s="75" t="inlineStr">
        <is>
          <t>G-ETH</t>
        </is>
      </c>
      <c r="C6" s="75" t="inlineStr">
        <is>
          <t>1 ETH/BTC · 9 ETH/SOL · 15 LDO/ETH</t>
        </is>
      </c>
      <c r="D6" s="76" t="inlineStr">
        <is>
          <t>한 번에 1개만</t>
        </is>
      </c>
      <c r="E6" s="75" t="inlineStr">
        <is>
          <t>1 &gt; 15 &gt; 9</t>
        </is>
      </c>
      <c r="F6" s="75" t="inlineStr">
        <is>
          <t>25%</t>
        </is>
      </c>
    </row>
    <row r="7" ht="21.75" customHeight="1" s="63">
      <c r="B7" s="75" t="inlineStr">
        <is>
          <t>G-SOL</t>
        </is>
      </c>
      <c r="C7" s="75" t="inlineStr">
        <is>
          <t>2 SOL/BTC · 9 ETH/SOL</t>
        </is>
      </c>
      <c r="D7" s="76" t="inlineStr">
        <is>
          <t>한 번에 1개만</t>
        </is>
      </c>
      <c r="E7" s="75" t="inlineStr">
        <is>
          <t>2 &gt; 9</t>
        </is>
      </c>
      <c r="F7" s="75" t="inlineStr">
        <is>
          <t>25%</t>
        </is>
      </c>
    </row>
    <row r="8" ht="21.75" customHeight="1" s="63">
      <c r="B8" s="75" t="inlineStr">
        <is>
          <t>G-SUI</t>
        </is>
      </c>
      <c r="C8" s="75" t="inlineStr">
        <is>
          <t>4 SUI/BTC · 10 SUI/APT</t>
        </is>
      </c>
      <c r="D8" s="76" t="inlineStr">
        <is>
          <t>한 번에 1개만</t>
        </is>
      </c>
      <c r="E8" s="75" t="inlineStr">
        <is>
          <t>4 &gt; 10</t>
        </is>
      </c>
      <c r="F8" s="75" t="inlineStr">
        <is>
          <t>20%</t>
        </is>
      </c>
    </row>
    <row r="9" ht="21.75" customHeight="1" s="63">
      <c r="B9" s="75" t="inlineStr">
        <is>
          <t>G-AVAX</t>
        </is>
      </c>
      <c r="C9" s="75" t="inlineStr">
        <is>
          <t>7 AVAX/BTC · 12 AVAX/NEAR</t>
        </is>
      </c>
      <c r="D9" s="76" t="inlineStr">
        <is>
          <t>한 번에 1개만</t>
        </is>
      </c>
      <c r="E9" s="75" t="inlineStr">
        <is>
          <t>7 &gt; 12</t>
        </is>
      </c>
      <c r="F9" s="75" t="inlineStr">
        <is>
          <t>18%</t>
        </is>
      </c>
    </row>
    <row r="10" ht="21.75" customHeight="1" s="63">
      <c r="B10" s="75" t="inlineStr">
        <is>
          <t>G-DEFI</t>
        </is>
      </c>
      <c r="C10" s="75" t="inlineStr">
        <is>
          <t>13 AAVE/LINK · 14 UNI/AAVE</t>
        </is>
      </c>
      <c r="D10" s="76" t="inlineStr">
        <is>
          <t>한 번에 1개만</t>
        </is>
      </c>
      <c r="E10" s="76" t="inlineStr">
        <is>
          <t>점수 높은 쪽</t>
        </is>
      </c>
      <c r="F10" s="75" t="inlineStr">
        <is>
          <t>15%</t>
        </is>
      </c>
    </row>
    <row r="11" ht="21.75" customHeight="1" s="63">
      <c r="B11" s="75" t="inlineStr">
        <is>
          <t>G-L2</t>
        </is>
      </c>
      <c r="C11" s="75" t="inlineStr">
        <is>
          <t>11 ARB/OP</t>
        </is>
      </c>
      <c r="D11" s="76" t="inlineStr">
        <is>
          <t>단독</t>
        </is>
      </c>
      <c r="E11" s="75" t="inlineStr">
        <is>
          <t>—</t>
        </is>
      </c>
      <c r="F11" s="75" t="inlineStr">
        <is>
          <t>12%</t>
        </is>
      </c>
    </row>
    <row r="12" ht="21.75" customHeight="1" s="63">
      <c r="B12" s="75" t="inlineStr">
        <is>
          <t>G-XRP</t>
        </is>
      </c>
      <c r="C12" s="75" t="inlineStr">
        <is>
          <t>5 XRP/BTC</t>
        </is>
      </c>
      <c r="D12" s="76" t="inlineStr">
        <is>
          <t>단독. 헤드라인 데이 신규 금지</t>
        </is>
      </c>
      <c r="E12" s="75" t="inlineStr">
        <is>
          <t>—</t>
        </is>
      </c>
      <c r="F12" s="75" t="inlineStr">
        <is>
          <t>15%</t>
        </is>
      </c>
    </row>
    <row r="13" ht="21.75" customHeight="1" s="63">
      <c r="B13" s="75" t="inlineStr">
        <is>
          <t>G-DOGE</t>
        </is>
      </c>
      <c r="C13" s="75" t="inlineStr">
        <is>
          <t>8 DOGE/BTC</t>
        </is>
      </c>
      <c r="D13" s="76" t="inlineStr">
        <is>
          <t>단독. 주말 신규 금지</t>
        </is>
      </c>
      <c r="E13" s="75" t="inlineStr">
        <is>
          <t>—</t>
        </is>
      </c>
      <c r="F13" s="75" t="inlineStr">
        <is>
          <t>12%</t>
        </is>
      </c>
    </row>
    <row r="14" ht="21.75" customHeight="1" s="63">
      <c r="B14" s="75" t="inlineStr">
        <is>
          <t>G-BNB</t>
        </is>
      </c>
      <c r="C14" s="75" t="inlineStr">
        <is>
          <t>3 BNB/BTC</t>
        </is>
      </c>
      <c r="D14" s="76" t="inlineStr">
        <is>
          <t>단독</t>
        </is>
      </c>
      <c r="E14" s="75" t="inlineStr">
        <is>
          <t>—</t>
        </is>
      </c>
      <c r="F14" s="75" t="inlineStr">
        <is>
          <t>20%</t>
        </is>
      </c>
    </row>
    <row r="15" ht="21.75" customHeight="1" s="63">
      <c r="B15" s="75" t="inlineStr">
        <is>
          <t>G-ADA</t>
        </is>
      </c>
      <c r="C15" s="75" t="inlineStr">
        <is>
          <t>6 ADA/BTC</t>
        </is>
      </c>
      <c r="D15" s="76" t="inlineStr">
        <is>
          <t>단독</t>
        </is>
      </c>
      <c r="E15" s="75" t="inlineStr">
        <is>
          <t>—</t>
        </is>
      </c>
      <c r="F15" s="75" t="inlineStr">
        <is>
          <t>15%</t>
        </is>
      </c>
    </row>
    <row r="16" ht="21.75" customHeight="1" s="63">
      <c r="B16" s="122" t="inlineStr">
        <is>
          <t>PORT</t>
        </is>
      </c>
      <c r="C16" s="123" t="inlineStr">
        <is>
          <t>실거래 전체</t>
        </is>
      </c>
      <c r="D16" s="123" t="inlineStr">
        <is>
          <t>최대 4페어, 그로스 150%</t>
        </is>
      </c>
      <c r="E16" s="123" t="inlineStr">
        <is>
          <t>점수순</t>
        </is>
      </c>
      <c r="F16" s="122" t="inlineStr">
        <is>
          <t>150% 그로스 / 25% 단일</t>
        </is>
      </c>
    </row>
    <row r="19" ht="15" customHeight="1" s="63">
      <c r="B19" s="73" t="inlineStr">
        <is>
          <t>잔차 상관 추가 게이트</t>
        </is>
      </c>
    </row>
    <row r="20" ht="15" customHeight="1" s="63">
      <c r="B20" s="80" t="inlineStr">
        <is>
          <t>On 페어 두 개의 칼만 잔차 e_t 상관(형성 30일)이 0.60을 넘으면, 점수가 낮은 쪽 사이즈를 0으로 줄인다.
예: ETH/BTC와 SOL/BTC 잔차가 같이 움직이면 알트 팩터 하나다. 둘 다 가득 채우지 않는다.
이 경우 SOL/BTC를 남기고 ETH/BTC를 벤치마크 전용으로 내린다(반대도 가능, 점수 우선).</t>
        </is>
      </c>
    </row>
    <row r="21" ht="15" customHeight="1" s="63"/>
    <row r="22" ht="15" customHeight="1" s="63"/>
  </sheetData>
  <mergeCells count="3">
    <mergeCell ref="B3:G3"/>
    <mergeCell ref="B2:G2"/>
    <mergeCell ref="B20:F22"/>
  </mergeCells>
  <printOptions horizontalCentered="0" verticalCentered="0" headings="0" gridLines="0" gridLinesSet="1"/>
  <pageMargins left="0.75" right="0.75" top="1" bottom="1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&amp;L05 Overlap</oddHeader>
    <oddFooter>&amp;COKX Kalman MR  ·  v1.0 LOCKED  ·  not investment advice&amp;RPage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B2:S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62" min="1" max="1"/>
    <col width="10" customWidth="1" style="62" min="2" max="2"/>
    <col width="9" customWidth="1" style="62" min="3" max="3"/>
    <col width="12" customWidth="1" style="62" min="4" max="4"/>
    <col width="14" customWidth="1" style="62" min="5" max="5"/>
    <col width="18" customWidth="1" style="62" min="6" max="6"/>
    <col width="10" customWidth="1" style="62" min="7" max="8"/>
    <col width="12" customWidth="1" style="62" min="9" max="10"/>
    <col width="10" customWidth="1" style="62" min="11" max="11"/>
    <col width="18" customWidth="1" style="62" min="12" max="12"/>
    <col width="14" customWidth="1" style="62" min="13" max="13"/>
    <col width="12" customWidth="1" style="62" min="14" max="14"/>
    <col width="10" customWidth="1" style="62" min="15" max="16"/>
    <col width="12" customWidth="1" style="62" min="17" max="18"/>
    <col width="28" customWidth="1" style="62" min="19" max="19"/>
  </cols>
  <sheetData>
    <row r="2" ht="27.6" customHeight="1" s="63">
      <c r="B2" s="83" t="inlineStr">
        <is>
          <t>06  ·  실거래 기록</t>
        </is>
      </c>
    </row>
    <row r="3" ht="15" customHeight="1" s="63">
      <c r="B3" s="96" t="inlineStr">
        <is>
          <t>한 행 = 한 스프레드 사이클. 신호봉 종가 다음 봉에서 체결했다고 적는다.</t>
        </is>
      </c>
    </row>
    <row r="5" ht="26.85" customHeight="1" s="63">
      <c r="B5" s="97" t="inlineStr">
        <is>
          <t>TradeID</t>
        </is>
      </c>
      <c r="C5" s="74" t="inlineStr">
        <is>
          <t>페어ID</t>
        </is>
      </c>
      <c r="D5" s="74" t="inlineStr">
        <is>
          <t>페어</t>
        </is>
      </c>
      <c r="E5" s="74" t="inlineStr">
        <is>
          <t>방향</t>
        </is>
      </c>
      <c r="F5" s="74" t="inlineStr">
        <is>
          <t>신호시각(UTC)</t>
        </is>
      </c>
      <c r="G5" s="74" t="inlineStr">
        <is>
          <t>진입 z</t>
        </is>
      </c>
      <c r="H5" s="74" t="inlineStr">
        <is>
          <t>청산 z</t>
        </is>
      </c>
      <c r="I5" s="74" t="inlineStr">
        <is>
          <t>진입 Y</t>
        </is>
      </c>
      <c r="J5" s="74" t="inlineStr">
        <is>
          <t>진입 X</t>
        </is>
      </c>
      <c r="K5" s="97" t="inlineStr">
        <is>
          <t>β 고정</t>
        </is>
      </c>
      <c r="L5" s="74" t="inlineStr">
        <is>
          <t>청산시각</t>
        </is>
      </c>
      <c r="M5" s="74" t="inlineStr">
        <is>
          <t>청산사유</t>
        </is>
      </c>
      <c r="N5" s="97" t="inlineStr">
        <is>
          <t>PnL USDT</t>
        </is>
      </c>
      <c r="O5" s="74" t="inlineStr">
        <is>
          <t>보유 h</t>
        </is>
      </c>
      <c r="P5" s="74" t="inlineStr">
        <is>
          <t>최대 |z|</t>
        </is>
      </c>
      <c r="Q5" s="74" t="inlineStr">
        <is>
          <t>펀딩 USDT</t>
        </is>
      </c>
      <c r="R5" s="74" t="inlineStr">
        <is>
          <t>수수료 USDT</t>
        </is>
      </c>
      <c r="S5" s="74" t="inlineStr">
        <is>
          <t>메모</t>
        </is>
      </c>
    </row>
    <row r="6" ht="18" customHeight="1" s="63">
      <c r="B6" s="124">
        <f>IF(C6="","",TEXT(ROW()-5,"000"))</f>
        <v/>
      </c>
      <c r="C6" s="101" t="n"/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</row>
    <row r="7" ht="18" customHeight="1" s="63">
      <c r="B7" s="125">
        <f>IF(C7="","",TEXT(ROW()-5,"000"))</f>
        <v/>
      </c>
      <c r="C7" s="112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</row>
    <row r="8" ht="18" customHeight="1" s="63">
      <c r="B8" s="124">
        <f>IF(C8="","",TEXT(ROW()-5,"000"))</f>
        <v/>
      </c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</row>
    <row r="9" ht="18" customHeight="1" s="63">
      <c r="B9" s="125">
        <f>IF(C9="","",TEXT(ROW()-5,"000"))</f>
        <v/>
      </c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</row>
    <row r="10" ht="18" customHeight="1" s="63">
      <c r="B10" s="124">
        <f>IF(C10="","",TEXT(ROW()-5,"000"))</f>
        <v/>
      </c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</row>
    <row r="11" ht="18" customHeight="1" s="63">
      <c r="B11" s="125">
        <f>IF(C11="","",TEXT(ROW()-5,"000"))</f>
        <v/>
      </c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</row>
    <row r="12" ht="18" customHeight="1" s="63">
      <c r="B12" s="124">
        <f>IF(C12="","",TEXT(ROW()-5,"000"))</f>
        <v/>
      </c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</row>
    <row r="13" ht="18" customHeight="1" s="63">
      <c r="B13" s="125">
        <f>IF(C13="","",TEXT(ROW()-5,"000"))</f>
        <v/>
      </c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</row>
    <row r="14" ht="18" customHeight="1" s="63">
      <c r="B14" s="124">
        <f>IF(C14="","",TEXT(ROW()-5,"000"))</f>
        <v/>
      </c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</row>
    <row r="15" ht="18" customHeight="1" s="63">
      <c r="B15" s="125">
        <f>IF(C15="","",TEXT(ROW()-5,"000"))</f>
        <v/>
      </c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</row>
    <row r="16" ht="18" customHeight="1" s="63">
      <c r="B16" s="124">
        <f>IF(C16="","",TEXT(ROW()-5,"000"))</f>
        <v/>
      </c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</row>
    <row r="17" ht="18" customHeight="1" s="63">
      <c r="B17" s="125">
        <f>IF(C17="","",TEXT(ROW()-5,"000"))</f>
        <v/>
      </c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</row>
    <row r="18" ht="18" customHeight="1" s="63">
      <c r="B18" s="124">
        <f>IF(C18="","",TEXT(ROW()-5,"000"))</f>
        <v/>
      </c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</row>
    <row r="19" ht="18" customHeight="1" s="63">
      <c r="B19" s="125">
        <f>IF(C19="","",TEXT(ROW()-5,"000"))</f>
        <v/>
      </c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</row>
    <row r="20" ht="18" customHeight="1" s="63">
      <c r="B20" s="124">
        <f>IF(C20="","",TEXT(ROW()-5,"000"))</f>
        <v/>
      </c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</row>
    <row r="21" ht="18" customHeight="1" s="63">
      <c r="B21" s="125">
        <f>IF(C21="","",TEXT(ROW()-5,"000"))</f>
        <v/>
      </c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</row>
    <row r="22" ht="18" customHeight="1" s="63">
      <c r="B22" s="124">
        <f>IF(C22="","",TEXT(ROW()-5,"000"))</f>
        <v/>
      </c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</row>
    <row r="23" ht="18" customHeight="1" s="63">
      <c r="B23" s="125">
        <f>IF(C23="","",TEXT(ROW()-5,"000"))</f>
        <v/>
      </c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</row>
    <row r="24" ht="18" customHeight="1" s="63">
      <c r="B24" s="124">
        <f>IF(C24="","",TEXT(ROW()-5,"000"))</f>
        <v/>
      </c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</row>
    <row r="25" ht="18" customHeight="1" s="63">
      <c r="B25" s="125">
        <f>IF(C25="","",TEXT(ROW()-5,"000"))</f>
        <v/>
      </c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</row>
    <row r="26" ht="18" customHeight="1" s="63">
      <c r="B26" s="124">
        <f>IF(C26="","",TEXT(ROW()-5,"000"))</f>
        <v/>
      </c>
      <c r="C26" s="101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</row>
    <row r="27" ht="18" customHeight="1" s="63">
      <c r="B27" s="125">
        <f>IF(C27="","",TEXT(ROW()-5,"000"))</f>
        <v/>
      </c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</row>
    <row r="28" ht="18" customHeight="1" s="63">
      <c r="B28" s="124">
        <f>IF(C28="","",TEXT(ROW()-5,"000"))</f>
        <v/>
      </c>
      <c r="C28" s="101" t="n"/>
      <c r="D28" s="101" t="n"/>
      <c r="E28" s="101" t="n"/>
      <c r="F28" s="101" t="n"/>
      <c r="G28" s="101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</row>
    <row r="29" ht="18" customHeight="1" s="63">
      <c r="B29" s="125">
        <f>IF(C29="","",TEXT(ROW()-5,"000"))</f>
        <v/>
      </c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8" customHeight="1" s="63">
      <c r="B30" s="124">
        <f>IF(C30="","",TEXT(ROW()-5,"000"))</f>
        <v/>
      </c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</row>
    <row r="31" ht="18" customHeight="1" s="63">
      <c r="B31" s="125">
        <f>IF(C31="","",TEXT(ROW()-5,"000"))</f>
        <v/>
      </c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8" customHeight="1" s="63">
      <c r="B32" s="124">
        <f>IF(C32="","",TEXT(ROW()-5,"000"))</f>
        <v/>
      </c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</row>
    <row r="33" ht="18" customHeight="1" s="63">
      <c r="B33" s="125">
        <f>IF(C33="","",TEXT(ROW()-5,"000"))</f>
        <v/>
      </c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</row>
    <row r="34" ht="18" customHeight="1" s="63">
      <c r="B34" s="124">
        <f>IF(C34="","",TEXT(ROW()-5,"000"))</f>
        <v/>
      </c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</row>
    <row r="35" ht="18" customHeight="1" s="63">
      <c r="B35" s="125">
        <f>IF(C35="","",TEXT(ROW()-5,"000"))</f>
        <v/>
      </c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7" ht="15" customHeight="1" s="63">
      <c r="B37" s="95" t="inlineStr">
        <is>
          <t>청산사유 표준값: EXIT_MEAN / STOP_Z / STOP_TIME / STOP_EVENT / STOP_FLIP / WINDOW_END / REHEDGE_ONLY(기록만). 방향: LONG_SPREAD 또는 SHORT_SPREAD.</t>
        </is>
      </c>
    </row>
    <row r="38" ht="15" customHeight="1" s="63"/>
  </sheetData>
  <autoFilter ref="B5:S35"/>
  <mergeCells count="3">
    <mergeCell ref="B2:R2"/>
    <mergeCell ref="B37:R38"/>
    <mergeCell ref="B3:R3"/>
  </mergeCells>
  <printOptions horizontalCentered="0" verticalCentered="0" headings="0" gridLines="0" gridLinesSet="1"/>
  <pageMargins left="0.75" right="0.75" top="1" bottom="1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&amp;L06 Trade Log</oddHeader>
    <oddFooter>&amp;COKX Kalman MR  ·  v1.0 LOCKED  ·  not investment advice&amp;RPage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2026-09-15T08:37:30Z</dcterms:created>
  <dcterms:modified xmlns:dcterms="http://purl.org/dc/terms/" xmlns:xsi="http://www.w3.org/2001/XMLSchema-instance" xsi:type="dcterms:W3CDTF">2026-09-16T07:31:45Z</dcterms:modified>
  <cp:revision>0</cp:revision>
</cp:coreProperties>
</file>